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ventory" sheetId="2" state="visible" r:id="rId2"/>
    <sheet name="Ledger" sheetId="3" state="visible" r:id="rId3"/>
    <sheet name="Claims" sheetId="4" state="visible" r:id="rId4"/>
    <sheet name="Distribution" sheetId="5" state="visible" r:id="rId5"/>
    <sheet name="Final accounting" sheetId="6" state="visible" r:id="rId6"/>
  </sheets>
  <definedNames>
    <definedName name="_xlnm.Print_Area" localSheetId="5">'Final accounting'!$A$1:$C$52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;($#,##0.00);&quot;-&quot;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2F4F4F"/>
      <sz val="9"/>
    </font>
    <font>
      <name val="Arial"/>
      <b val="1"/>
      <color rgb="001D1D1B"/>
      <sz val="16"/>
    </font>
    <font>
      <name val="Arial"/>
      <color rgb="005C5A55"/>
      <sz val="9"/>
    </font>
    <font>
      <name val="Arial"/>
      <color rgb="001D1D1B"/>
      <sz val="10"/>
    </font>
    <font>
      <name val="Arial"/>
      <b val="1"/>
      <color rgb="001D1D1B"/>
      <sz val="10"/>
    </font>
    <font>
      <name val="Arial"/>
      <i val="1"/>
      <color rgb="008A8780"/>
      <sz val="10"/>
    </font>
    <font>
      <name val="Arial"/>
      <b val="1"/>
      <color rgb="00FFFFFF"/>
      <sz val="10"/>
    </font>
    <font>
      <name val="Arial"/>
      <color theme="1"/>
      <sz val="11"/>
    </font>
  </fonts>
  <fills count="4">
    <fill>
      <patternFill/>
    </fill>
    <fill>
      <patternFill patternType="gray125"/>
    </fill>
    <fill>
      <patternFill patternType="solid">
        <fgColor rgb="00FBF7EA"/>
      </patternFill>
    </fill>
    <fill>
      <patternFill patternType="solid">
        <fgColor rgb="002F4F4F"/>
      </patternFill>
    </fill>
  </fills>
  <borders count="3">
    <border>
      <left/>
      <right/>
      <top/>
      <bottom/>
      <diagonal/>
    </border>
    <border>
      <bottom style="thin">
        <color rgb="00C9C5BB"/>
      </bottom>
    </border>
    <border>
      <top style="thin">
        <color rgb="00C9C5BB"/>
      </top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1" applyProtection="1" pivotButton="0" quotePrefix="0" xfId="0">
      <protection locked="0" hidden="0"/>
    </xf>
    <xf numFmtId="164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0" fontId="8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165" fontId="4" fillId="0" borderId="0" pivotButton="0" quotePrefix="0" xfId="0"/>
    <xf numFmtId="165" fontId="5" fillId="0" borderId="0" pivotButton="0" quotePrefix="0" xfId="0"/>
    <xf numFmtId="0" fontId="7" fillId="3" borderId="0" applyAlignment="1" pivotButton="0" quotePrefix="0" xfId="0">
      <alignment vertical="center" wrapText="1"/>
    </xf>
    <xf numFmtId="0" fontId="6" fillId="2" borderId="1" applyProtection="1" pivotButton="0" quotePrefix="0" xfId="0">
      <protection locked="0" hidden="0"/>
    </xf>
    <xf numFmtId="165" fontId="6" fillId="2" borderId="1" applyProtection="1" pivotButton="0" quotePrefix="0" xfId="0">
      <protection locked="0" hidden="0"/>
    </xf>
    <xf numFmtId="164" fontId="6" fillId="2" borderId="1" applyProtection="1" pivotButton="0" quotePrefix="0" xfId="0">
      <protection locked="0" hidden="0"/>
    </xf>
    <xf numFmtId="165" fontId="4" fillId="0" borderId="1" pivotButton="0" quotePrefix="0" xfId="0"/>
    <xf numFmtId="164" fontId="5" fillId="0" borderId="0" pivotButton="0" quotePrefix="0" xfId="0"/>
    <xf numFmtId="166" fontId="4" fillId="0" borderId="0" pivotButton="0" quotePrefix="0" xfId="0"/>
    <xf numFmtId="166" fontId="6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164" fontId="4" fillId="0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5" fillId="0" borderId="2" pivotButton="0" quotePrefix="0" xfId="0"/>
    <xf numFmtId="165" fontId="5" fillId="0" borderId="2" pivotButton="0" quotePrefix="0" xfId="0"/>
    <xf numFmtId="1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1C9"/>
        </patternFill>
      </fill>
    </dxf>
    <dxf>
      <fill>
        <patternFill patternType="solid">
          <fgColor rgb="00F5DA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Executor's Desk</author>
  </authors>
  <commentList>
    <comment ref="B21" authorId="0" shapeId="0">
      <text>
        <t>Typed as a date, e.g. 2026-03-14.</t>
      </text>
    </comment>
    <comment ref="B25" authorId="0" shapeId="0">
      <text>
        <t>Ask the probate clerk. The Claims tab turns rows red after this date.</t>
      </text>
    </comment>
    <comment ref="B26" authorId="0" shapeId="0">
      <text>
        <t>Money you keep in the estate account until the final tax bills are known. The Distribution tab subtracts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THE EXECUTOR'S DESK</t>
        </is>
      </c>
      <c r="B1" s="2" t="n"/>
    </row>
    <row r="2">
      <c r="A2" s="3" t="inlineStr">
        <is>
          <t>The Estate Ledger</t>
        </is>
      </c>
      <c r="B2" s="2" t="n"/>
    </row>
    <row r="3">
      <c r="A3" s="4" t="inlineStr">
        <is>
          <t>Inventory, ledger, claims, distribution and final accounting for one estate. Formulas only; no macros.</t>
        </is>
      </c>
      <c r="B3" s="2" t="n"/>
    </row>
    <row r="4">
      <c r="A4" s="2" t="n"/>
      <c r="B4" s="2" t="n"/>
    </row>
    <row r="5" ht="30" customHeight="1">
      <c r="A5" s="5" t="inlineStr">
        <is>
          <t>1. Fill in the estate details below. Shaded cells are yours to type in; white cells hold formulas and update by themselves.</t>
        </is>
      </c>
      <c r="B5" s="2" t="n"/>
    </row>
    <row r="6" ht="30" customHeight="1">
      <c r="A6" s="5" t="inlineStr">
        <is>
          <t>2. Inventory tab: one row per asset, at date-of-death value. Mark how each passes (A, B or C, the same sort as the notebook).</t>
        </is>
      </c>
      <c r="B6" s="2" t="n"/>
    </row>
    <row r="7" ht="30" customHeight="1">
      <c r="A7" s="5" t="inlineStr">
        <is>
          <t>3. Ledger tab: every transaction in the estate bank account, in date order. Money in on the left, money out on the right.</t>
        </is>
      </c>
      <c r="B7" s="2" t="n"/>
    </row>
    <row r="8" ht="30" customHeight="1">
      <c r="A8" s="5" t="inlineStr">
        <is>
          <t>4. Tick the Receipt column for every outgoing amount. Rows without a receipt turn amber until you do.</t>
        </is>
      </c>
      <c r="B8" s="2" t="n"/>
    </row>
    <row r="9" ht="30" customHeight="1">
      <c r="A9" s="5" t="inlineStr">
        <is>
          <t>5. Claims tab: every creditor claim as it arrives. Rows dated after the creditor window closes turn red.</t>
        </is>
      </c>
      <c r="B9" s="2" t="n"/>
    </row>
    <row r="10" ht="30" customHeight="1">
      <c r="A10" s="5" t="inlineStr">
        <is>
          <t>6. Distribution tab: beneficiaries and their shares. The computed share updates from the ledger balance and your reserve.</t>
        </is>
      </c>
      <c r="B10" s="2" t="n"/>
    </row>
    <row r="11" ht="30" customHeight="1">
      <c r="A11" s="5" t="inlineStr">
        <is>
          <t>7. Final accounting tab: print it. It pulls from the other tabs and is laid out the way courts and beneficiaries expect.</t>
        </is>
      </c>
      <c r="B11" s="2" t="n"/>
    </row>
    <row r="12" ht="30" customHeight="1">
      <c r="A12" s="5" t="inlineStr">
        <is>
          <t>8. Delete the three gray italic example rows on each tab once you have entered your own.</t>
        </is>
      </c>
      <c r="B12" s="2" t="n"/>
    </row>
    <row r="13" ht="30" customHeight="1">
      <c r="A13" s="5" t="inlineStr">
        <is>
          <t>9. Do not insert columns. Adding rows inside a table is fine; the totals cover 200 rows per table.</t>
        </is>
      </c>
      <c r="B13" s="2" t="n"/>
    </row>
    <row r="14" ht="30" customHeight="1">
      <c r="A14" s="5" t="inlineStr">
        <is>
          <t>10. Categories are dropdowns. If a transaction fits none, use the closest and explain in Notes.</t>
        </is>
      </c>
      <c r="B14" s="2" t="n"/>
    </row>
    <row r="15" ht="30" customHeight="1">
      <c r="A15" s="5" t="inlineStr">
        <is>
          <t>11. Reconcile the Ledger balance to the bank statement on the same day each month and write the date in the box below.</t>
        </is>
      </c>
      <c r="B15" s="2" t="n"/>
    </row>
    <row r="16" ht="30" customHeight="1">
      <c r="A16" s="5" t="inlineStr">
        <is>
          <t>12. Nothing here is legal or tax advice. Your CPA will want the Final accounting tab and the Ledger tab; send both.</t>
        </is>
      </c>
      <c r="B16" s="2" t="n"/>
    </row>
    <row r="17">
      <c r="A17" s="2" t="n"/>
      <c r="B17" s="2" t="n"/>
    </row>
    <row r="18">
      <c r="A18" s="2" t="n"/>
      <c r="B18" s="2" t="n"/>
    </row>
    <row r="19">
      <c r="A19" s="1" t="inlineStr">
        <is>
          <t>ESTATE DETAILS</t>
        </is>
      </c>
      <c r="B19" s="2" t="n"/>
    </row>
    <row r="20">
      <c r="A20" s="6" t="inlineStr">
        <is>
          <t>Decedent's full name</t>
        </is>
      </c>
      <c r="B20" s="7" t="n"/>
    </row>
    <row r="21">
      <c r="A21" s="6" t="inlineStr">
        <is>
          <t>Date of death</t>
        </is>
      </c>
      <c r="B21" s="8" t="n"/>
    </row>
    <row r="22">
      <c r="A22" s="6" t="inlineStr">
        <is>
          <t>Estate EIN</t>
        </is>
      </c>
      <c r="B22" s="7" t="n"/>
    </row>
    <row r="23">
      <c r="A23" s="6" t="inlineStr">
        <is>
          <t>Court and case number</t>
        </is>
      </c>
      <c r="B23" s="7" t="n"/>
    </row>
    <row r="24">
      <c r="A24" s="6" t="inlineStr">
        <is>
          <t>Executor / personal representative</t>
        </is>
      </c>
      <c r="B24" s="7" t="n"/>
    </row>
    <row r="25">
      <c r="A25" s="6" t="inlineStr">
        <is>
          <t>Creditor claim window closes on</t>
        </is>
      </c>
      <c r="B25" s="8" t="n"/>
    </row>
    <row r="26">
      <c r="A26" s="6" t="inlineStr">
        <is>
          <t>Reserve held back for taxes and final costs ($)</t>
        </is>
      </c>
      <c r="B26" s="9" t="n"/>
    </row>
    <row r="27">
      <c r="A27" s="6" t="inlineStr">
        <is>
          <t>Last bank reconciliation date</t>
        </is>
      </c>
      <c r="B27" s="8" t="n"/>
    </row>
    <row r="28">
      <c r="A28" s="2" t="n"/>
      <c r="B28" s="2" t="n"/>
    </row>
    <row r="29">
      <c r="A29" s="1" t="inlineStr">
        <is>
          <t>LEGEND</t>
        </is>
      </c>
      <c r="B29" s="2" t="n"/>
    </row>
    <row r="30">
      <c r="A30" s="10" t="inlineStr">
        <is>
          <t>Shaded cell</t>
        </is>
      </c>
      <c r="B30" s="11" t="inlineStr">
        <is>
          <t>Type here.</t>
        </is>
      </c>
    </row>
    <row r="31">
      <c r="A31" s="11" t="inlineStr">
        <is>
          <t>White cell</t>
        </is>
      </c>
      <c r="B31" s="11" t="inlineStr">
        <is>
          <t>Formula. Leave it alone.</t>
        </is>
      </c>
    </row>
    <row r="32">
      <c r="A32" s="12" t="inlineStr">
        <is>
          <t>Gray italic row</t>
        </is>
      </c>
      <c r="B32" s="11" t="inlineStr">
        <is>
          <t>Example. Delete it.</t>
        </is>
      </c>
    </row>
    <row r="33">
      <c r="A33" s="2" t="n"/>
      <c r="B33" s="2" t="n"/>
    </row>
    <row r="34">
      <c r="A34" s="4" t="inlineStr">
        <is>
          <t>Version 1.0, September 2026. General information, not legal or tax advice.</t>
        </is>
      </c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2">
    <mergeCell ref="A16:B16"/>
    <mergeCell ref="A15:B15"/>
    <mergeCell ref="A7:B7"/>
    <mergeCell ref="A11:B11"/>
    <mergeCell ref="A10:B10"/>
    <mergeCell ref="A5:B5"/>
    <mergeCell ref="A13:B13"/>
    <mergeCell ref="A14:B14"/>
    <mergeCell ref="A9:B9"/>
    <mergeCell ref="A8:B8"/>
    <mergeCell ref="A6:B6"/>
    <mergeCell ref="A12:B1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40" customWidth="1" min="8" max="8"/>
  </cols>
  <sheetData>
    <row r="1">
      <c r="A1" s="1" t="inlineStr">
        <is>
          <t>THE EXECUTOR'S DESK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Inventory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One row per asset at date-of-death value. A = passes by beneficiary designation. B = passes by ownership or trust. C = probate estate.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1" t="inlineStr">
        <is>
          <t>TOTALS BY CATEGORY</t>
        </is>
      </c>
      <c r="B5" s="2" t="n"/>
      <c r="C5" s="2" t="n"/>
      <c r="D5" s="1" t="inlineStr">
        <is>
          <t>TOTALS BY HOW IT PASSES</t>
        </is>
      </c>
      <c r="E5" s="2" t="n"/>
      <c r="F5" s="2" t="n"/>
      <c r="G5" s="2" t="n"/>
      <c r="H5" s="2" t="n"/>
    </row>
    <row r="6">
      <c r="A6" s="11" t="inlineStr">
        <is>
          <t>bank</t>
        </is>
      </c>
      <c r="B6" s="13">
        <f>SUMIF($A$19:$A$218,A6,$E$19:$E$218)</f>
        <v/>
      </c>
      <c r="C6" s="2" t="n"/>
      <c r="D6" s="11" t="inlineStr">
        <is>
          <t>A: beneficiary designation (not probate)</t>
        </is>
      </c>
      <c r="E6" s="2" t="n"/>
      <c r="F6" s="13">
        <f>SUMIF($D$19:$D$218,"A",$E$19:$E$218)</f>
        <v/>
      </c>
      <c r="G6" s="2" t="n"/>
      <c r="H6" s="2" t="n"/>
    </row>
    <row r="7">
      <c r="A7" s="11" t="inlineStr">
        <is>
          <t>brokerage</t>
        </is>
      </c>
      <c r="B7" s="13">
        <f>SUMIF($A$19:$A$218,A7,$E$19:$E$218)</f>
        <v/>
      </c>
      <c r="C7" s="2" t="n"/>
      <c r="D7" s="11" t="inlineStr">
        <is>
          <t>B: joint / trust (not probate)</t>
        </is>
      </c>
      <c r="E7" s="2" t="n"/>
      <c r="F7" s="13">
        <f>SUMIF($D$19:$D$218,"B",$E$19:$E$218)</f>
        <v/>
      </c>
      <c r="G7" s="2" t="n"/>
      <c r="H7" s="2" t="n"/>
    </row>
    <row r="8">
      <c r="A8" s="11" t="inlineStr">
        <is>
          <t>retirement</t>
        </is>
      </c>
      <c r="B8" s="13">
        <f>SUMIF($A$19:$A$218,A8,$E$19:$E$218)</f>
        <v/>
      </c>
      <c r="C8" s="2" t="n"/>
      <c r="D8" s="11" t="inlineStr">
        <is>
          <t>C: probate estate</t>
        </is>
      </c>
      <c r="E8" s="2" t="n"/>
      <c r="F8" s="13">
        <f>SUMIF($D$19:$D$218,"C",$E$19:$E$218)</f>
        <v/>
      </c>
      <c r="G8" s="2" t="n"/>
      <c r="H8" s="2" t="n"/>
    </row>
    <row r="9">
      <c r="A9" s="11" t="inlineStr">
        <is>
          <t>life insurance</t>
        </is>
      </c>
      <c r="B9" s="13">
        <f>SUMIF($A$19:$A$218,A9,$E$19:$E$218)</f>
        <v/>
      </c>
      <c r="C9" s="2" t="n"/>
      <c r="D9" s="6" t="inlineStr">
        <is>
          <t>All assets</t>
        </is>
      </c>
      <c r="E9" s="2" t="n"/>
      <c r="F9" s="14">
        <f>SUM($E$19:$E$218)</f>
        <v/>
      </c>
      <c r="G9" s="2" t="n"/>
      <c r="H9" s="2" t="n"/>
    </row>
    <row r="10">
      <c r="A10" s="11" t="inlineStr">
        <is>
          <t>real estate</t>
        </is>
      </c>
      <c r="B10" s="13">
        <f>SUMIF($A$19:$A$218,A10,$E$19:$E$218)</f>
        <v/>
      </c>
      <c r="C10" s="2" t="n"/>
      <c r="D10" s="11" t="inlineStr">
        <is>
          <t>Assets not yet valued (count)</t>
        </is>
      </c>
      <c r="E10" s="2" t="n"/>
      <c r="F10" s="11">
        <f>SUMPRODUCT(($B$19:$B$218&lt;&gt;"")*($E$19:$E$218=""))</f>
        <v/>
      </c>
      <c r="G10" s="2" t="n"/>
      <c r="H10" s="2" t="n"/>
    </row>
    <row r="11">
      <c r="A11" s="11" t="inlineStr">
        <is>
          <t>vehicle</t>
        </is>
      </c>
      <c r="B11" s="13">
        <f>SUMIF($A$19:$A$218,A11,$E$19:$E$218)</f>
        <v/>
      </c>
      <c r="C11" s="2" t="n"/>
      <c r="D11" s="2" t="n"/>
      <c r="E11" s="2" t="n"/>
      <c r="F11" s="2" t="n"/>
      <c r="G11" s="2" t="n"/>
      <c r="H11" s="2" t="n"/>
    </row>
    <row r="12">
      <c r="A12" s="11" t="inlineStr">
        <is>
          <t>personal property</t>
        </is>
      </c>
      <c r="B12" s="13">
        <f>SUMIF($A$19:$A$218,A12,$E$19:$E$218)</f>
        <v/>
      </c>
      <c r="C12" s="2" t="n"/>
      <c r="D12" s="2" t="n"/>
      <c r="E12" s="2" t="n"/>
      <c r="F12" s="2" t="n"/>
      <c r="G12" s="2" t="n"/>
      <c r="H12" s="2" t="n"/>
    </row>
    <row r="13">
      <c r="A13" s="11" t="inlineStr">
        <is>
          <t>business</t>
        </is>
      </c>
      <c r="B13" s="13">
        <f>SUMIF($A$19:$A$218,A13,$E$19:$E$218)</f>
        <v/>
      </c>
      <c r="C13" s="2" t="n"/>
      <c r="D13" s="2" t="n"/>
      <c r="E13" s="2" t="n"/>
      <c r="F13" s="2" t="n"/>
      <c r="G13" s="2" t="n"/>
      <c r="H13" s="2" t="n"/>
    </row>
    <row r="14">
      <c r="A14" s="11" t="inlineStr">
        <is>
          <t>receivable</t>
        </is>
      </c>
      <c r="B14" s="13">
        <f>SUMIF($A$19:$A$218,A14,$E$19:$E$218)</f>
        <v/>
      </c>
      <c r="C14" s="2" t="n"/>
      <c r="D14" s="2" t="n"/>
      <c r="E14" s="2" t="n"/>
      <c r="F14" s="2" t="n"/>
      <c r="G14" s="2" t="n"/>
      <c r="H14" s="2" t="n"/>
    </row>
    <row r="15">
      <c r="A15" s="11" t="inlineStr">
        <is>
          <t>digital</t>
        </is>
      </c>
      <c r="B15" s="13">
        <f>SUMIF($A$19:$A$218,A15,$E$19:$E$218)</f>
        <v/>
      </c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Each row: pick a category, name the institution, mark A/B/C, enter the date-of-death value and where it came from.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30" customHeight="1">
      <c r="A18" s="15" t="inlineStr">
        <is>
          <t>Category</t>
        </is>
      </c>
      <c r="B18" s="15" t="inlineStr">
        <is>
          <t>Institution / description</t>
        </is>
      </c>
      <c r="C18" s="15" t="inlineStr">
        <is>
          <t>Account last 4</t>
        </is>
      </c>
      <c r="D18" s="15" t="inlineStr">
        <is>
          <t>Passes (A/B/C)</t>
        </is>
      </c>
      <c r="E18" s="15" t="inlineStr">
        <is>
          <t>Date-of-death value</t>
        </is>
      </c>
      <c r="F18" s="15" t="inlineStr">
        <is>
          <t>Source of value</t>
        </is>
      </c>
      <c r="G18" s="15" t="inlineStr">
        <is>
          <t>Status</t>
        </is>
      </c>
      <c r="H18" s="15" t="inlineStr">
        <is>
          <t>Notes</t>
        </is>
      </c>
    </row>
    <row r="19">
      <c r="A19" s="16" t="inlineStr">
        <is>
          <t>bank</t>
        </is>
      </c>
      <c r="B19" s="16" t="inlineStr">
        <is>
          <t>First County Bank checking</t>
        </is>
      </c>
      <c r="C19" s="16" t="inlineStr">
        <is>
          <t>4471</t>
        </is>
      </c>
      <c r="D19" s="16" t="inlineStr">
        <is>
          <t>C</t>
        </is>
      </c>
      <c r="E19" s="17" t="n">
        <v>12480.22</v>
      </c>
      <c r="F19" s="16" t="inlineStr">
        <is>
          <t>statement</t>
        </is>
      </c>
      <c r="G19" s="16" t="inlineStr">
        <is>
          <t>valued</t>
        </is>
      </c>
      <c r="H19" s="16" t="inlineStr">
        <is>
          <t>Sole name, no POD. Moved to estate account 2026-04-02.</t>
        </is>
      </c>
    </row>
    <row r="20">
      <c r="A20" s="16" t="inlineStr">
        <is>
          <t>retirement</t>
        </is>
      </c>
      <c r="B20" s="16" t="inlineStr">
        <is>
          <t>Fidelity IRA</t>
        </is>
      </c>
      <c r="C20" s="16" t="inlineStr">
        <is>
          <t>9902</t>
        </is>
      </c>
      <c r="D20" s="16" t="inlineStr">
        <is>
          <t>A</t>
        </is>
      </c>
      <c r="E20" s="17" t="n">
        <v>86310</v>
      </c>
      <c r="F20" s="16" t="inlineStr">
        <is>
          <t>statement</t>
        </is>
      </c>
      <c r="G20" s="16" t="inlineStr">
        <is>
          <t>located</t>
        </is>
      </c>
      <c r="H20" s="16" t="inlineStr">
        <is>
          <t>Beneficiary: the three children equally. Not probate.</t>
        </is>
      </c>
    </row>
    <row r="21">
      <c r="A21" s="16" t="inlineStr">
        <is>
          <t>real estate</t>
        </is>
      </c>
      <c r="B21" s="16" t="inlineStr">
        <is>
          <t>14 Elm St, Dayton OH</t>
        </is>
      </c>
      <c r="C21" s="16" t="inlineStr"/>
      <c r="D21" s="16" t="inlineStr">
        <is>
          <t>C</t>
        </is>
      </c>
      <c r="E21" s="17" t="n">
        <v>214000</v>
      </c>
      <c r="F21" s="16" t="inlineStr">
        <is>
          <t>appraisal</t>
        </is>
      </c>
      <c r="G21" s="16" t="inlineStr">
        <is>
          <t>valued</t>
        </is>
      </c>
      <c r="H21" s="16" t="inlineStr">
        <is>
          <t>Date-of-death appraisal 2026-04-10, J. Ortiz, licensed.</t>
        </is>
      </c>
    </row>
    <row r="22">
      <c r="A22" s="7" t="n"/>
      <c r="B22" s="7" t="n"/>
      <c r="C22" s="7" t="n"/>
      <c r="D22" s="7" t="n"/>
      <c r="E22" s="9" t="n"/>
      <c r="F22" s="7" t="n"/>
      <c r="G22" s="7" t="n"/>
      <c r="H22" s="7" t="n"/>
    </row>
    <row r="23">
      <c r="A23" s="7" t="n"/>
      <c r="B23" s="7" t="n"/>
      <c r="C23" s="7" t="n"/>
      <c r="D23" s="7" t="n"/>
      <c r="E23" s="9" t="n"/>
      <c r="F23" s="7" t="n"/>
      <c r="G23" s="7" t="n"/>
      <c r="H23" s="7" t="n"/>
    </row>
    <row r="24">
      <c r="A24" s="7" t="n"/>
      <c r="B24" s="7" t="n"/>
      <c r="C24" s="7" t="n"/>
      <c r="D24" s="7" t="n"/>
      <c r="E24" s="9" t="n"/>
      <c r="F24" s="7" t="n"/>
      <c r="G24" s="7" t="n"/>
      <c r="H24" s="7" t="n"/>
    </row>
    <row r="25">
      <c r="A25" s="7" t="n"/>
      <c r="B25" s="7" t="n"/>
      <c r="C25" s="7" t="n"/>
      <c r="D25" s="7" t="n"/>
      <c r="E25" s="9" t="n"/>
      <c r="F25" s="7" t="n"/>
      <c r="G25" s="7" t="n"/>
      <c r="H25" s="7" t="n"/>
    </row>
    <row r="26">
      <c r="A26" s="7" t="n"/>
      <c r="B26" s="7" t="n"/>
      <c r="C26" s="7" t="n"/>
      <c r="D26" s="7" t="n"/>
      <c r="E26" s="9" t="n"/>
      <c r="F26" s="7" t="n"/>
      <c r="G26" s="7" t="n"/>
      <c r="H26" s="7" t="n"/>
    </row>
    <row r="27">
      <c r="A27" s="7" t="n"/>
      <c r="B27" s="7" t="n"/>
      <c r="C27" s="7" t="n"/>
      <c r="D27" s="7" t="n"/>
      <c r="E27" s="9" t="n"/>
      <c r="F27" s="7" t="n"/>
      <c r="G27" s="7" t="n"/>
      <c r="H27" s="7" t="n"/>
    </row>
    <row r="28">
      <c r="A28" s="7" t="n"/>
      <c r="B28" s="7" t="n"/>
      <c r="C28" s="7" t="n"/>
      <c r="D28" s="7" t="n"/>
      <c r="E28" s="9" t="n"/>
      <c r="F28" s="7" t="n"/>
      <c r="G28" s="7" t="n"/>
      <c r="H28" s="7" t="n"/>
    </row>
    <row r="29">
      <c r="A29" s="7" t="n"/>
      <c r="B29" s="7" t="n"/>
      <c r="C29" s="7" t="n"/>
      <c r="D29" s="7" t="n"/>
      <c r="E29" s="9" t="n"/>
      <c r="F29" s="7" t="n"/>
      <c r="G29" s="7" t="n"/>
      <c r="H29" s="7" t="n"/>
    </row>
    <row r="30">
      <c r="A30" s="7" t="n"/>
      <c r="B30" s="7" t="n"/>
      <c r="C30" s="7" t="n"/>
      <c r="D30" s="7" t="n"/>
      <c r="E30" s="9" t="n"/>
      <c r="F30" s="7" t="n"/>
      <c r="G30" s="7" t="n"/>
      <c r="H30" s="7" t="n"/>
    </row>
    <row r="31">
      <c r="A31" s="7" t="n"/>
      <c r="B31" s="7" t="n"/>
      <c r="C31" s="7" t="n"/>
      <c r="D31" s="7" t="n"/>
      <c r="E31" s="9" t="n"/>
      <c r="F31" s="7" t="n"/>
      <c r="G31" s="7" t="n"/>
      <c r="H31" s="7" t="n"/>
    </row>
    <row r="32">
      <c r="A32" s="7" t="n"/>
      <c r="B32" s="7" t="n"/>
      <c r="C32" s="7" t="n"/>
      <c r="D32" s="7" t="n"/>
      <c r="E32" s="9" t="n"/>
      <c r="F32" s="7" t="n"/>
      <c r="G32" s="7" t="n"/>
      <c r="H32" s="7" t="n"/>
    </row>
    <row r="33">
      <c r="A33" s="7" t="n"/>
      <c r="B33" s="7" t="n"/>
      <c r="C33" s="7" t="n"/>
      <c r="D33" s="7" t="n"/>
      <c r="E33" s="9" t="n"/>
      <c r="F33" s="7" t="n"/>
      <c r="G33" s="7" t="n"/>
      <c r="H33" s="7" t="n"/>
    </row>
    <row r="34">
      <c r="A34" s="7" t="n"/>
      <c r="B34" s="7" t="n"/>
      <c r="C34" s="7" t="n"/>
      <c r="D34" s="7" t="n"/>
      <c r="E34" s="9" t="n"/>
      <c r="F34" s="7" t="n"/>
      <c r="G34" s="7" t="n"/>
      <c r="H34" s="7" t="n"/>
    </row>
    <row r="35">
      <c r="A35" s="7" t="n"/>
      <c r="B35" s="7" t="n"/>
      <c r="C35" s="7" t="n"/>
      <c r="D35" s="7" t="n"/>
      <c r="E35" s="9" t="n"/>
      <c r="F35" s="7" t="n"/>
      <c r="G35" s="7" t="n"/>
      <c r="H35" s="7" t="n"/>
    </row>
    <row r="36">
      <c r="A36" s="7" t="n"/>
      <c r="B36" s="7" t="n"/>
      <c r="C36" s="7" t="n"/>
      <c r="D36" s="7" t="n"/>
      <c r="E36" s="9" t="n"/>
      <c r="F36" s="7" t="n"/>
      <c r="G36" s="7" t="n"/>
      <c r="H36" s="7" t="n"/>
    </row>
    <row r="37">
      <c r="A37" s="7" t="n"/>
      <c r="B37" s="7" t="n"/>
      <c r="C37" s="7" t="n"/>
      <c r="D37" s="7" t="n"/>
      <c r="E37" s="9" t="n"/>
      <c r="F37" s="7" t="n"/>
      <c r="G37" s="7" t="n"/>
      <c r="H37" s="7" t="n"/>
    </row>
    <row r="38">
      <c r="A38" s="7" t="n"/>
      <c r="B38" s="7" t="n"/>
      <c r="C38" s="7" t="n"/>
      <c r="D38" s="7" t="n"/>
      <c r="E38" s="9" t="n"/>
      <c r="F38" s="7" t="n"/>
      <c r="G38" s="7" t="n"/>
      <c r="H38" s="7" t="n"/>
    </row>
    <row r="39">
      <c r="A39" s="7" t="n"/>
      <c r="B39" s="7" t="n"/>
      <c r="C39" s="7" t="n"/>
      <c r="D39" s="7" t="n"/>
      <c r="E39" s="9" t="n"/>
      <c r="F39" s="7" t="n"/>
      <c r="G39" s="7" t="n"/>
      <c r="H39" s="7" t="n"/>
    </row>
    <row r="40">
      <c r="A40" s="7" t="n"/>
      <c r="B40" s="7" t="n"/>
      <c r="C40" s="7" t="n"/>
      <c r="D40" s="7" t="n"/>
      <c r="E40" s="9" t="n"/>
      <c r="F40" s="7" t="n"/>
      <c r="G40" s="7" t="n"/>
      <c r="H40" s="7" t="n"/>
    </row>
    <row r="41">
      <c r="A41" s="7" t="n"/>
      <c r="B41" s="7" t="n"/>
      <c r="C41" s="7" t="n"/>
      <c r="D41" s="7" t="n"/>
      <c r="E41" s="9" t="n"/>
      <c r="F41" s="7" t="n"/>
      <c r="G41" s="7" t="n"/>
      <c r="H41" s="7" t="n"/>
    </row>
    <row r="42">
      <c r="A42" s="7" t="n"/>
      <c r="B42" s="7" t="n"/>
      <c r="C42" s="7" t="n"/>
      <c r="D42" s="7" t="n"/>
      <c r="E42" s="9" t="n"/>
      <c r="F42" s="7" t="n"/>
      <c r="G42" s="7" t="n"/>
      <c r="H42" s="7" t="n"/>
    </row>
    <row r="43">
      <c r="A43" s="7" t="n"/>
      <c r="B43" s="7" t="n"/>
      <c r="C43" s="7" t="n"/>
      <c r="D43" s="7" t="n"/>
      <c r="E43" s="9" t="n"/>
      <c r="F43" s="7" t="n"/>
      <c r="G43" s="7" t="n"/>
      <c r="H43" s="7" t="n"/>
    </row>
    <row r="44">
      <c r="A44" s="7" t="n"/>
      <c r="B44" s="7" t="n"/>
      <c r="C44" s="7" t="n"/>
      <c r="D44" s="7" t="n"/>
      <c r="E44" s="9" t="n"/>
      <c r="F44" s="7" t="n"/>
      <c r="G44" s="7" t="n"/>
      <c r="H44" s="7" t="n"/>
    </row>
    <row r="45">
      <c r="A45" s="7" t="n"/>
      <c r="B45" s="7" t="n"/>
      <c r="C45" s="7" t="n"/>
      <c r="D45" s="7" t="n"/>
      <c r="E45" s="9" t="n"/>
      <c r="F45" s="7" t="n"/>
      <c r="G45" s="7" t="n"/>
      <c r="H45" s="7" t="n"/>
    </row>
    <row r="46">
      <c r="A46" s="7" t="n"/>
      <c r="B46" s="7" t="n"/>
      <c r="C46" s="7" t="n"/>
      <c r="D46" s="7" t="n"/>
      <c r="E46" s="9" t="n"/>
      <c r="F46" s="7" t="n"/>
      <c r="G46" s="7" t="n"/>
      <c r="H46" s="7" t="n"/>
    </row>
    <row r="47">
      <c r="A47" s="7" t="n"/>
      <c r="B47" s="7" t="n"/>
      <c r="C47" s="7" t="n"/>
      <c r="D47" s="7" t="n"/>
      <c r="E47" s="9" t="n"/>
      <c r="F47" s="7" t="n"/>
      <c r="G47" s="7" t="n"/>
      <c r="H47" s="7" t="n"/>
    </row>
    <row r="48">
      <c r="A48" s="7" t="n"/>
      <c r="B48" s="7" t="n"/>
      <c r="C48" s="7" t="n"/>
      <c r="D48" s="7" t="n"/>
      <c r="E48" s="9" t="n"/>
      <c r="F48" s="7" t="n"/>
      <c r="G48" s="7" t="n"/>
      <c r="H48" s="7" t="n"/>
    </row>
    <row r="49">
      <c r="A49" s="7" t="n"/>
      <c r="B49" s="7" t="n"/>
      <c r="C49" s="7" t="n"/>
      <c r="D49" s="7" t="n"/>
      <c r="E49" s="9" t="n"/>
      <c r="F49" s="7" t="n"/>
      <c r="G49" s="7" t="n"/>
      <c r="H49" s="7" t="n"/>
    </row>
    <row r="50">
      <c r="A50" s="7" t="n"/>
      <c r="B50" s="7" t="n"/>
      <c r="C50" s="7" t="n"/>
      <c r="D50" s="7" t="n"/>
      <c r="E50" s="9" t="n"/>
      <c r="F50" s="7" t="n"/>
      <c r="G50" s="7" t="n"/>
      <c r="H50" s="7" t="n"/>
    </row>
    <row r="51">
      <c r="A51" s="7" t="n"/>
      <c r="B51" s="7" t="n"/>
      <c r="C51" s="7" t="n"/>
      <c r="D51" s="7" t="n"/>
      <c r="E51" s="9" t="n"/>
      <c r="F51" s="7" t="n"/>
      <c r="G51" s="7" t="n"/>
      <c r="H51" s="7" t="n"/>
    </row>
    <row r="52">
      <c r="A52" s="7" t="n"/>
      <c r="B52" s="7" t="n"/>
      <c r="C52" s="7" t="n"/>
      <c r="D52" s="7" t="n"/>
      <c r="E52" s="9" t="n"/>
      <c r="F52" s="7" t="n"/>
      <c r="G52" s="7" t="n"/>
      <c r="H52" s="7" t="n"/>
    </row>
    <row r="53">
      <c r="A53" s="7" t="n"/>
      <c r="B53" s="7" t="n"/>
      <c r="C53" s="7" t="n"/>
      <c r="D53" s="7" t="n"/>
      <c r="E53" s="9" t="n"/>
      <c r="F53" s="7" t="n"/>
      <c r="G53" s="7" t="n"/>
      <c r="H53" s="7" t="n"/>
    </row>
    <row r="54">
      <c r="A54" s="7" t="n"/>
      <c r="B54" s="7" t="n"/>
      <c r="C54" s="7" t="n"/>
      <c r="D54" s="7" t="n"/>
      <c r="E54" s="9" t="n"/>
      <c r="F54" s="7" t="n"/>
      <c r="G54" s="7" t="n"/>
      <c r="H54" s="7" t="n"/>
    </row>
    <row r="55">
      <c r="A55" s="7" t="n"/>
      <c r="B55" s="7" t="n"/>
      <c r="C55" s="7" t="n"/>
      <c r="D55" s="7" t="n"/>
      <c r="E55" s="9" t="n"/>
      <c r="F55" s="7" t="n"/>
      <c r="G55" s="7" t="n"/>
      <c r="H55" s="7" t="n"/>
    </row>
    <row r="56">
      <c r="A56" s="7" t="n"/>
      <c r="B56" s="7" t="n"/>
      <c r="C56" s="7" t="n"/>
      <c r="D56" s="7" t="n"/>
      <c r="E56" s="9" t="n"/>
      <c r="F56" s="7" t="n"/>
      <c r="G56" s="7" t="n"/>
      <c r="H56" s="7" t="n"/>
    </row>
    <row r="57">
      <c r="A57" s="7" t="n"/>
      <c r="B57" s="7" t="n"/>
      <c r="C57" s="7" t="n"/>
      <c r="D57" s="7" t="n"/>
      <c r="E57" s="9" t="n"/>
      <c r="F57" s="7" t="n"/>
      <c r="G57" s="7" t="n"/>
      <c r="H57" s="7" t="n"/>
    </row>
    <row r="58">
      <c r="A58" s="7" t="n"/>
      <c r="B58" s="7" t="n"/>
      <c r="C58" s="7" t="n"/>
      <c r="D58" s="7" t="n"/>
      <c r="E58" s="9" t="n"/>
      <c r="F58" s="7" t="n"/>
      <c r="G58" s="7" t="n"/>
      <c r="H58" s="7" t="n"/>
    </row>
    <row r="59">
      <c r="A59" s="7" t="n"/>
      <c r="B59" s="7" t="n"/>
      <c r="C59" s="7" t="n"/>
      <c r="D59" s="7" t="n"/>
      <c r="E59" s="9" t="n"/>
      <c r="F59" s="7" t="n"/>
      <c r="G59" s="7" t="n"/>
      <c r="H59" s="7" t="n"/>
    </row>
    <row r="60">
      <c r="A60" s="7" t="n"/>
      <c r="B60" s="7" t="n"/>
      <c r="C60" s="7" t="n"/>
      <c r="D60" s="7" t="n"/>
      <c r="E60" s="9" t="n"/>
      <c r="F60" s="7" t="n"/>
      <c r="G60" s="7" t="n"/>
      <c r="H60" s="7" t="n"/>
    </row>
    <row r="61">
      <c r="A61" s="7" t="n"/>
      <c r="B61" s="7" t="n"/>
      <c r="C61" s="7" t="n"/>
      <c r="D61" s="7" t="n"/>
      <c r="E61" s="9" t="n"/>
      <c r="F61" s="7" t="n"/>
      <c r="G61" s="7" t="n"/>
      <c r="H61" s="7" t="n"/>
    </row>
    <row r="62">
      <c r="A62" s="7" t="n"/>
      <c r="B62" s="7" t="n"/>
      <c r="C62" s="7" t="n"/>
      <c r="D62" s="7" t="n"/>
      <c r="E62" s="9" t="n"/>
      <c r="F62" s="7" t="n"/>
      <c r="G62" s="7" t="n"/>
      <c r="H62" s="7" t="n"/>
    </row>
    <row r="63">
      <c r="A63" s="7" t="n"/>
      <c r="B63" s="7" t="n"/>
      <c r="C63" s="7" t="n"/>
      <c r="D63" s="7" t="n"/>
      <c r="E63" s="9" t="n"/>
      <c r="F63" s="7" t="n"/>
      <c r="G63" s="7" t="n"/>
      <c r="H63" s="7" t="n"/>
    </row>
    <row r="64">
      <c r="A64" s="7" t="n"/>
      <c r="B64" s="7" t="n"/>
      <c r="C64" s="7" t="n"/>
      <c r="D64" s="7" t="n"/>
      <c r="E64" s="9" t="n"/>
      <c r="F64" s="7" t="n"/>
      <c r="G64" s="7" t="n"/>
      <c r="H64" s="7" t="n"/>
    </row>
    <row r="65">
      <c r="A65" s="7" t="n"/>
      <c r="B65" s="7" t="n"/>
      <c r="C65" s="7" t="n"/>
      <c r="D65" s="7" t="n"/>
      <c r="E65" s="9" t="n"/>
      <c r="F65" s="7" t="n"/>
      <c r="G65" s="7" t="n"/>
      <c r="H65" s="7" t="n"/>
    </row>
    <row r="66">
      <c r="A66" s="7" t="n"/>
      <c r="B66" s="7" t="n"/>
      <c r="C66" s="7" t="n"/>
      <c r="D66" s="7" t="n"/>
      <c r="E66" s="9" t="n"/>
      <c r="F66" s="7" t="n"/>
      <c r="G66" s="7" t="n"/>
      <c r="H66" s="7" t="n"/>
    </row>
    <row r="67">
      <c r="A67" s="7" t="n"/>
      <c r="B67" s="7" t="n"/>
      <c r="C67" s="7" t="n"/>
      <c r="D67" s="7" t="n"/>
      <c r="E67" s="9" t="n"/>
      <c r="F67" s="7" t="n"/>
      <c r="G67" s="7" t="n"/>
      <c r="H67" s="7" t="n"/>
    </row>
    <row r="68">
      <c r="A68" s="7" t="n"/>
      <c r="B68" s="7" t="n"/>
      <c r="C68" s="7" t="n"/>
      <c r="D68" s="7" t="n"/>
      <c r="E68" s="9" t="n"/>
      <c r="F68" s="7" t="n"/>
      <c r="G68" s="7" t="n"/>
      <c r="H68" s="7" t="n"/>
    </row>
    <row r="69">
      <c r="A69" s="7" t="n"/>
      <c r="B69" s="7" t="n"/>
      <c r="C69" s="7" t="n"/>
      <c r="D69" s="7" t="n"/>
      <c r="E69" s="9" t="n"/>
      <c r="F69" s="7" t="n"/>
      <c r="G69" s="7" t="n"/>
      <c r="H69" s="7" t="n"/>
    </row>
    <row r="70">
      <c r="A70" s="7" t="n"/>
      <c r="B70" s="7" t="n"/>
      <c r="C70" s="7" t="n"/>
      <c r="D70" s="7" t="n"/>
      <c r="E70" s="9" t="n"/>
      <c r="F70" s="7" t="n"/>
      <c r="G70" s="7" t="n"/>
      <c r="H70" s="7" t="n"/>
    </row>
    <row r="71">
      <c r="A71" s="7" t="n"/>
      <c r="B71" s="7" t="n"/>
      <c r="C71" s="7" t="n"/>
      <c r="D71" s="7" t="n"/>
      <c r="E71" s="9" t="n"/>
      <c r="F71" s="7" t="n"/>
      <c r="G71" s="7" t="n"/>
      <c r="H71" s="7" t="n"/>
    </row>
    <row r="72">
      <c r="A72" s="7" t="n"/>
      <c r="B72" s="7" t="n"/>
      <c r="C72" s="7" t="n"/>
      <c r="D72" s="7" t="n"/>
      <c r="E72" s="9" t="n"/>
      <c r="F72" s="7" t="n"/>
      <c r="G72" s="7" t="n"/>
      <c r="H72" s="7" t="n"/>
    </row>
    <row r="73">
      <c r="A73" s="7" t="n"/>
      <c r="B73" s="7" t="n"/>
      <c r="C73" s="7" t="n"/>
      <c r="D73" s="7" t="n"/>
      <c r="E73" s="9" t="n"/>
      <c r="F73" s="7" t="n"/>
      <c r="G73" s="7" t="n"/>
      <c r="H73" s="7" t="n"/>
    </row>
    <row r="74">
      <c r="A74" s="7" t="n"/>
      <c r="B74" s="7" t="n"/>
      <c r="C74" s="7" t="n"/>
      <c r="D74" s="7" t="n"/>
      <c r="E74" s="9" t="n"/>
      <c r="F74" s="7" t="n"/>
      <c r="G74" s="7" t="n"/>
      <c r="H74" s="7" t="n"/>
    </row>
    <row r="75">
      <c r="A75" s="7" t="n"/>
      <c r="B75" s="7" t="n"/>
      <c r="C75" s="7" t="n"/>
      <c r="D75" s="7" t="n"/>
      <c r="E75" s="9" t="n"/>
      <c r="F75" s="7" t="n"/>
      <c r="G75" s="7" t="n"/>
      <c r="H75" s="7" t="n"/>
    </row>
    <row r="76">
      <c r="A76" s="7" t="n"/>
      <c r="B76" s="7" t="n"/>
      <c r="C76" s="7" t="n"/>
      <c r="D76" s="7" t="n"/>
      <c r="E76" s="9" t="n"/>
      <c r="F76" s="7" t="n"/>
      <c r="G76" s="7" t="n"/>
      <c r="H76" s="7" t="n"/>
    </row>
    <row r="77">
      <c r="A77" s="7" t="n"/>
      <c r="B77" s="7" t="n"/>
      <c r="C77" s="7" t="n"/>
      <c r="D77" s="7" t="n"/>
      <c r="E77" s="9" t="n"/>
      <c r="F77" s="7" t="n"/>
      <c r="G77" s="7" t="n"/>
      <c r="H77" s="7" t="n"/>
    </row>
    <row r="78">
      <c r="A78" s="7" t="n"/>
      <c r="B78" s="7" t="n"/>
      <c r="C78" s="7" t="n"/>
      <c r="D78" s="7" t="n"/>
      <c r="E78" s="9" t="n"/>
      <c r="F78" s="7" t="n"/>
      <c r="G78" s="7" t="n"/>
      <c r="H78" s="7" t="n"/>
    </row>
    <row r="79">
      <c r="A79" s="7" t="n"/>
      <c r="B79" s="7" t="n"/>
      <c r="C79" s="7" t="n"/>
      <c r="D79" s="7" t="n"/>
      <c r="E79" s="9" t="n"/>
      <c r="F79" s="7" t="n"/>
      <c r="G79" s="7" t="n"/>
      <c r="H79" s="7" t="n"/>
    </row>
    <row r="80">
      <c r="A80" s="7" t="n"/>
      <c r="B80" s="7" t="n"/>
      <c r="C80" s="7" t="n"/>
      <c r="D80" s="7" t="n"/>
      <c r="E80" s="9" t="n"/>
      <c r="F80" s="7" t="n"/>
      <c r="G80" s="7" t="n"/>
      <c r="H80" s="7" t="n"/>
    </row>
    <row r="81">
      <c r="A81" s="7" t="n"/>
      <c r="B81" s="7" t="n"/>
      <c r="C81" s="7" t="n"/>
      <c r="D81" s="7" t="n"/>
      <c r="E81" s="9" t="n"/>
      <c r="F81" s="7" t="n"/>
      <c r="G81" s="7" t="n"/>
      <c r="H81" s="7" t="n"/>
    </row>
    <row r="82">
      <c r="A82" s="7" t="n"/>
      <c r="B82" s="7" t="n"/>
      <c r="C82" s="7" t="n"/>
      <c r="D82" s="7" t="n"/>
      <c r="E82" s="9" t="n"/>
      <c r="F82" s="7" t="n"/>
      <c r="G82" s="7" t="n"/>
      <c r="H82" s="7" t="n"/>
    </row>
    <row r="83">
      <c r="A83" s="7" t="n"/>
      <c r="B83" s="7" t="n"/>
      <c r="C83" s="7" t="n"/>
      <c r="D83" s="7" t="n"/>
      <c r="E83" s="9" t="n"/>
      <c r="F83" s="7" t="n"/>
      <c r="G83" s="7" t="n"/>
      <c r="H83" s="7" t="n"/>
    </row>
    <row r="84">
      <c r="A84" s="7" t="n"/>
      <c r="B84" s="7" t="n"/>
      <c r="C84" s="7" t="n"/>
      <c r="D84" s="7" t="n"/>
      <c r="E84" s="9" t="n"/>
      <c r="F84" s="7" t="n"/>
      <c r="G84" s="7" t="n"/>
      <c r="H84" s="7" t="n"/>
    </row>
    <row r="85">
      <c r="A85" s="7" t="n"/>
      <c r="B85" s="7" t="n"/>
      <c r="C85" s="7" t="n"/>
      <c r="D85" s="7" t="n"/>
      <c r="E85" s="9" t="n"/>
      <c r="F85" s="7" t="n"/>
      <c r="G85" s="7" t="n"/>
      <c r="H85" s="7" t="n"/>
    </row>
    <row r="86">
      <c r="A86" s="7" t="n"/>
      <c r="B86" s="7" t="n"/>
      <c r="C86" s="7" t="n"/>
      <c r="D86" s="7" t="n"/>
      <c r="E86" s="9" t="n"/>
      <c r="F86" s="7" t="n"/>
      <c r="G86" s="7" t="n"/>
      <c r="H86" s="7" t="n"/>
    </row>
    <row r="87">
      <c r="A87" s="7" t="n"/>
      <c r="B87" s="7" t="n"/>
      <c r="C87" s="7" t="n"/>
      <c r="D87" s="7" t="n"/>
      <c r="E87" s="9" t="n"/>
      <c r="F87" s="7" t="n"/>
      <c r="G87" s="7" t="n"/>
      <c r="H87" s="7" t="n"/>
    </row>
    <row r="88">
      <c r="A88" s="7" t="n"/>
      <c r="B88" s="7" t="n"/>
      <c r="C88" s="7" t="n"/>
      <c r="D88" s="7" t="n"/>
      <c r="E88" s="9" t="n"/>
      <c r="F88" s="7" t="n"/>
      <c r="G88" s="7" t="n"/>
      <c r="H88" s="7" t="n"/>
    </row>
    <row r="89">
      <c r="A89" s="7" t="n"/>
      <c r="B89" s="7" t="n"/>
      <c r="C89" s="7" t="n"/>
      <c r="D89" s="7" t="n"/>
      <c r="E89" s="9" t="n"/>
      <c r="F89" s="7" t="n"/>
      <c r="G89" s="7" t="n"/>
      <c r="H89" s="7" t="n"/>
    </row>
    <row r="90">
      <c r="A90" s="7" t="n"/>
      <c r="B90" s="7" t="n"/>
      <c r="C90" s="7" t="n"/>
      <c r="D90" s="7" t="n"/>
      <c r="E90" s="9" t="n"/>
      <c r="F90" s="7" t="n"/>
      <c r="G90" s="7" t="n"/>
      <c r="H90" s="7" t="n"/>
    </row>
    <row r="91">
      <c r="A91" s="7" t="n"/>
      <c r="B91" s="7" t="n"/>
      <c r="C91" s="7" t="n"/>
      <c r="D91" s="7" t="n"/>
      <c r="E91" s="9" t="n"/>
      <c r="F91" s="7" t="n"/>
      <c r="G91" s="7" t="n"/>
      <c r="H91" s="7" t="n"/>
    </row>
    <row r="92">
      <c r="A92" s="7" t="n"/>
      <c r="B92" s="7" t="n"/>
      <c r="C92" s="7" t="n"/>
      <c r="D92" s="7" t="n"/>
      <c r="E92" s="9" t="n"/>
      <c r="F92" s="7" t="n"/>
      <c r="G92" s="7" t="n"/>
      <c r="H92" s="7" t="n"/>
    </row>
    <row r="93">
      <c r="A93" s="7" t="n"/>
      <c r="B93" s="7" t="n"/>
      <c r="C93" s="7" t="n"/>
      <c r="D93" s="7" t="n"/>
      <c r="E93" s="9" t="n"/>
      <c r="F93" s="7" t="n"/>
      <c r="G93" s="7" t="n"/>
      <c r="H93" s="7" t="n"/>
    </row>
    <row r="94">
      <c r="A94" s="7" t="n"/>
      <c r="B94" s="7" t="n"/>
      <c r="C94" s="7" t="n"/>
      <c r="D94" s="7" t="n"/>
      <c r="E94" s="9" t="n"/>
      <c r="F94" s="7" t="n"/>
      <c r="G94" s="7" t="n"/>
      <c r="H94" s="7" t="n"/>
    </row>
    <row r="95">
      <c r="A95" s="7" t="n"/>
      <c r="B95" s="7" t="n"/>
      <c r="C95" s="7" t="n"/>
      <c r="D95" s="7" t="n"/>
      <c r="E95" s="9" t="n"/>
      <c r="F95" s="7" t="n"/>
      <c r="G95" s="7" t="n"/>
      <c r="H95" s="7" t="n"/>
    </row>
    <row r="96">
      <c r="A96" s="7" t="n"/>
      <c r="B96" s="7" t="n"/>
      <c r="C96" s="7" t="n"/>
      <c r="D96" s="7" t="n"/>
      <c r="E96" s="9" t="n"/>
      <c r="F96" s="7" t="n"/>
      <c r="G96" s="7" t="n"/>
      <c r="H96" s="7" t="n"/>
    </row>
    <row r="97">
      <c r="A97" s="7" t="n"/>
      <c r="B97" s="7" t="n"/>
      <c r="C97" s="7" t="n"/>
      <c r="D97" s="7" t="n"/>
      <c r="E97" s="9" t="n"/>
      <c r="F97" s="7" t="n"/>
      <c r="G97" s="7" t="n"/>
      <c r="H97" s="7" t="n"/>
    </row>
    <row r="98">
      <c r="A98" s="7" t="n"/>
      <c r="B98" s="7" t="n"/>
      <c r="C98" s="7" t="n"/>
      <c r="D98" s="7" t="n"/>
      <c r="E98" s="9" t="n"/>
      <c r="F98" s="7" t="n"/>
      <c r="G98" s="7" t="n"/>
      <c r="H98" s="7" t="n"/>
    </row>
    <row r="99">
      <c r="A99" s="7" t="n"/>
      <c r="B99" s="7" t="n"/>
      <c r="C99" s="7" t="n"/>
      <c r="D99" s="7" t="n"/>
      <c r="E99" s="9" t="n"/>
      <c r="F99" s="7" t="n"/>
      <c r="G99" s="7" t="n"/>
      <c r="H99" s="7" t="n"/>
    </row>
    <row r="100">
      <c r="A100" s="7" t="n"/>
      <c r="B100" s="7" t="n"/>
      <c r="C100" s="7" t="n"/>
      <c r="D100" s="7" t="n"/>
      <c r="E100" s="9" t="n"/>
      <c r="F100" s="7" t="n"/>
      <c r="G100" s="7" t="n"/>
      <c r="H100" s="7" t="n"/>
    </row>
    <row r="101">
      <c r="A101" s="7" t="n"/>
      <c r="B101" s="7" t="n"/>
      <c r="C101" s="7" t="n"/>
      <c r="D101" s="7" t="n"/>
      <c r="E101" s="9" t="n"/>
      <c r="F101" s="7" t="n"/>
      <c r="G101" s="7" t="n"/>
      <c r="H101" s="7" t="n"/>
    </row>
    <row r="102">
      <c r="A102" s="7" t="n"/>
      <c r="B102" s="7" t="n"/>
      <c r="C102" s="7" t="n"/>
      <c r="D102" s="7" t="n"/>
      <c r="E102" s="9" t="n"/>
      <c r="F102" s="7" t="n"/>
      <c r="G102" s="7" t="n"/>
      <c r="H102" s="7" t="n"/>
    </row>
    <row r="103">
      <c r="A103" s="7" t="n"/>
      <c r="B103" s="7" t="n"/>
      <c r="C103" s="7" t="n"/>
      <c r="D103" s="7" t="n"/>
      <c r="E103" s="9" t="n"/>
      <c r="F103" s="7" t="n"/>
      <c r="G103" s="7" t="n"/>
      <c r="H103" s="7" t="n"/>
    </row>
    <row r="104">
      <c r="A104" s="7" t="n"/>
      <c r="B104" s="7" t="n"/>
      <c r="C104" s="7" t="n"/>
      <c r="D104" s="7" t="n"/>
      <c r="E104" s="9" t="n"/>
      <c r="F104" s="7" t="n"/>
      <c r="G104" s="7" t="n"/>
      <c r="H104" s="7" t="n"/>
    </row>
    <row r="105">
      <c r="A105" s="7" t="n"/>
      <c r="B105" s="7" t="n"/>
      <c r="C105" s="7" t="n"/>
      <c r="D105" s="7" t="n"/>
      <c r="E105" s="9" t="n"/>
      <c r="F105" s="7" t="n"/>
      <c r="G105" s="7" t="n"/>
      <c r="H105" s="7" t="n"/>
    </row>
    <row r="106">
      <c r="A106" s="7" t="n"/>
      <c r="B106" s="7" t="n"/>
      <c r="C106" s="7" t="n"/>
      <c r="D106" s="7" t="n"/>
      <c r="E106" s="9" t="n"/>
      <c r="F106" s="7" t="n"/>
      <c r="G106" s="7" t="n"/>
      <c r="H106" s="7" t="n"/>
    </row>
    <row r="107">
      <c r="A107" s="7" t="n"/>
      <c r="B107" s="7" t="n"/>
      <c r="C107" s="7" t="n"/>
      <c r="D107" s="7" t="n"/>
      <c r="E107" s="9" t="n"/>
      <c r="F107" s="7" t="n"/>
      <c r="G107" s="7" t="n"/>
      <c r="H107" s="7" t="n"/>
    </row>
    <row r="108">
      <c r="A108" s="7" t="n"/>
      <c r="B108" s="7" t="n"/>
      <c r="C108" s="7" t="n"/>
      <c r="D108" s="7" t="n"/>
      <c r="E108" s="9" t="n"/>
      <c r="F108" s="7" t="n"/>
      <c r="G108" s="7" t="n"/>
      <c r="H108" s="7" t="n"/>
    </row>
    <row r="109">
      <c r="A109" s="7" t="n"/>
      <c r="B109" s="7" t="n"/>
      <c r="C109" s="7" t="n"/>
      <c r="D109" s="7" t="n"/>
      <c r="E109" s="9" t="n"/>
      <c r="F109" s="7" t="n"/>
      <c r="G109" s="7" t="n"/>
      <c r="H109" s="7" t="n"/>
    </row>
    <row r="110">
      <c r="A110" s="7" t="n"/>
      <c r="B110" s="7" t="n"/>
      <c r="C110" s="7" t="n"/>
      <c r="D110" s="7" t="n"/>
      <c r="E110" s="9" t="n"/>
      <c r="F110" s="7" t="n"/>
      <c r="G110" s="7" t="n"/>
      <c r="H110" s="7" t="n"/>
    </row>
    <row r="111">
      <c r="A111" s="7" t="n"/>
      <c r="B111" s="7" t="n"/>
      <c r="C111" s="7" t="n"/>
      <c r="D111" s="7" t="n"/>
      <c r="E111" s="9" t="n"/>
      <c r="F111" s="7" t="n"/>
      <c r="G111" s="7" t="n"/>
      <c r="H111" s="7" t="n"/>
    </row>
    <row r="112">
      <c r="A112" s="7" t="n"/>
      <c r="B112" s="7" t="n"/>
      <c r="C112" s="7" t="n"/>
      <c r="D112" s="7" t="n"/>
      <c r="E112" s="9" t="n"/>
      <c r="F112" s="7" t="n"/>
      <c r="G112" s="7" t="n"/>
      <c r="H112" s="7" t="n"/>
    </row>
    <row r="113">
      <c r="A113" s="7" t="n"/>
      <c r="B113" s="7" t="n"/>
      <c r="C113" s="7" t="n"/>
      <c r="D113" s="7" t="n"/>
      <c r="E113" s="9" t="n"/>
      <c r="F113" s="7" t="n"/>
      <c r="G113" s="7" t="n"/>
      <c r="H113" s="7" t="n"/>
    </row>
    <row r="114">
      <c r="A114" s="7" t="n"/>
      <c r="B114" s="7" t="n"/>
      <c r="C114" s="7" t="n"/>
      <c r="D114" s="7" t="n"/>
      <c r="E114" s="9" t="n"/>
      <c r="F114" s="7" t="n"/>
      <c r="G114" s="7" t="n"/>
      <c r="H114" s="7" t="n"/>
    </row>
    <row r="115">
      <c r="A115" s="7" t="n"/>
      <c r="B115" s="7" t="n"/>
      <c r="C115" s="7" t="n"/>
      <c r="D115" s="7" t="n"/>
      <c r="E115" s="9" t="n"/>
      <c r="F115" s="7" t="n"/>
      <c r="G115" s="7" t="n"/>
      <c r="H115" s="7" t="n"/>
    </row>
    <row r="116">
      <c r="A116" s="7" t="n"/>
      <c r="B116" s="7" t="n"/>
      <c r="C116" s="7" t="n"/>
      <c r="D116" s="7" t="n"/>
      <c r="E116" s="9" t="n"/>
      <c r="F116" s="7" t="n"/>
      <c r="G116" s="7" t="n"/>
      <c r="H116" s="7" t="n"/>
    </row>
    <row r="117">
      <c r="A117" s="7" t="n"/>
      <c r="B117" s="7" t="n"/>
      <c r="C117" s="7" t="n"/>
      <c r="D117" s="7" t="n"/>
      <c r="E117" s="9" t="n"/>
      <c r="F117" s="7" t="n"/>
      <c r="G117" s="7" t="n"/>
      <c r="H117" s="7" t="n"/>
    </row>
    <row r="118">
      <c r="A118" s="7" t="n"/>
      <c r="B118" s="7" t="n"/>
      <c r="C118" s="7" t="n"/>
      <c r="D118" s="7" t="n"/>
      <c r="E118" s="9" t="n"/>
      <c r="F118" s="7" t="n"/>
      <c r="G118" s="7" t="n"/>
      <c r="H118" s="7" t="n"/>
    </row>
    <row r="119">
      <c r="A119" s="7" t="n"/>
      <c r="B119" s="7" t="n"/>
      <c r="C119" s="7" t="n"/>
      <c r="D119" s="7" t="n"/>
      <c r="E119" s="9" t="n"/>
      <c r="F119" s="7" t="n"/>
      <c r="G119" s="7" t="n"/>
      <c r="H119" s="7" t="n"/>
    </row>
    <row r="120">
      <c r="A120" s="7" t="n"/>
      <c r="B120" s="7" t="n"/>
      <c r="C120" s="7" t="n"/>
      <c r="D120" s="7" t="n"/>
      <c r="E120" s="9" t="n"/>
      <c r="F120" s="7" t="n"/>
      <c r="G120" s="7" t="n"/>
      <c r="H120" s="7" t="n"/>
    </row>
    <row r="121">
      <c r="A121" s="7" t="n"/>
      <c r="B121" s="7" t="n"/>
      <c r="C121" s="7" t="n"/>
      <c r="D121" s="7" t="n"/>
      <c r="E121" s="9" t="n"/>
      <c r="F121" s="7" t="n"/>
      <c r="G121" s="7" t="n"/>
      <c r="H121" s="7" t="n"/>
    </row>
    <row r="122">
      <c r="A122" s="7" t="n"/>
      <c r="B122" s="7" t="n"/>
      <c r="C122" s="7" t="n"/>
      <c r="D122" s="7" t="n"/>
      <c r="E122" s="9" t="n"/>
      <c r="F122" s="7" t="n"/>
      <c r="G122" s="7" t="n"/>
      <c r="H122" s="7" t="n"/>
    </row>
    <row r="123">
      <c r="A123" s="7" t="n"/>
      <c r="B123" s="7" t="n"/>
      <c r="C123" s="7" t="n"/>
      <c r="D123" s="7" t="n"/>
      <c r="E123" s="9" t="n"/>
      <c r="F123" s="7" t="n"/>
      <c r="G123" s="7" t="n"/>
      <c r="H123" s="7" t="n"/>
    </row>
    <row r="124">
      <c r="A124" s="7" t="n"/>
      <c r="B124" s="7" t="n"/>
      <c r="C124" s="7" t="n"/>
      <c r="D124" s="7" t="n"/>
      <c r="E124" s="9" t="n"/>
      <c r="F124" s="7" t="n"/>
      <c r="G124" s="7" t="n"/>
      <c r="H124" s="7" t="n"/>
    </row>
    <row r="125">
      <c r="A125" s="7" t="n"/>
      <c r="B125" s="7" t="n"/>
      <c r="C125" s="7" t="n"/>
      <c r="D125" s="7" t="n"/>
      <c r="E125" s="9" t="n"/>
      <c r="F125" s="7" t="n"/>
      <c r="G125" s="7" t="n"/>
      <c r="H125" s="7" t="n"/>
    </row>
    <row r="126">
      <c r="A126" s="7" t="n"/>
      <c r="B126" s="7" t="n"/>
      <c r="C126" s="7" t="n"/>
      <c r="D126" s="7" t="n"/>
      <c r="E126" s="9" t="n"/>
      <c r="F126" s="7" t="n"/>
      <c r="G126" s="7" t="n"/>
      <c r="H126" s="7" t="n"/>
    </row>
    <row r="127">
      <c r="A127" s="7" t="n"/>
      <c r="B127" s="7" t="n"/>
      <c r="C127" s="7" t="n"/>
      <c r="D127" s="7" t="n"/>
      <c r="E127" s="9" t="n"/>
      <c r="F127" s="7" t="n"/>
      <c r="G127" s="7" t="n"/>
      <c r="H127" s="7" t="n"/>
    </row>
    <row r="128">
      <c r="A128" s="7" t="n"/>
      <c r="B128" s="7" t="n"/>
      <c r="C128" s="7" t="n"/>
      <c r="D128" s="7" t="n"/>
      <c r="E128" s="9" t="n"/>
      <c r="F128" s="7" t="n"/>
      <c r="G128" s="7" t="n"/>
      <c r="H128" s="7" t="n"/>
    </row>
    <row r="129">
      <c r="A129" s="7" t="n"/>
      <c r="B129" s="7" t="n"/>
      <c r="C129" s="7" t="n"/>
      <c r="D129" s="7" t="n"/>
      <c r="E129" s="9" t="n"/>
      <c r="F129" s="7" t="n"/>
      <c r="G129" s="7" t="n"/>
      <c r="H129" s="7" t="n"/>
    </row>
    <row r="130">
      <c r="A130" s="7" t="n"/>
      <c r="B130" s="7" t="n"/>
      <c r="C130" s="7" t="n"/>
      <c r="D130" s="7" t="n"/>
      <c r="E130" s="9" t="n"/>
      <c r="F130" s="7" t="n"/>
      <c r="G130" s="7" t="n"/>
      <c r="H130" s="7" t="n"/>
    </row>
    <row r="131">
      <c r="A131" s="7" t="n"/>
      <c r="B131" s="7" t="n"/>
      <c r="C131" s="7" t="n"/>
      <c r="D131" s="7" t="n"/>
      <c r="E131" s="9" t="n"/>
      <c r="F131" s="7" t="n"/>
      <c r="G131" s="7" t="n"/>
      <c r="H131" s="7" t="n"/>
    </row>
    <row r="132">
      <c r="A132" s="7" t="n"/>
      <c r="B132" s="7" t="n"/>
      <c r="C132" s="7" t="n"/>
      <c r="D132" s="7" t="n"/>
      <c r="E132" s="9" t="n"/>
      <c r="F132" s="7" t="n"/>
      <c r="G132" s="7" t="n"/>
      <c r="H132" s="7" t="n"/>
    </row>
    <row r="133">
      <c r="A133" s="7" t="n"/>
      <c r="B133" s="7" t="n"/>
      <c r="C133" s="7" t="n"/>
      <c r="D133" s="7" t="n"/>
      <c r="E133" s="9" t="n"/>
      <c r="F133" s="7" t="n"/>
      <c r="G133" s="7" t="n"/>
      <c r="H133" s="7" t="n"/>
    </row>
    <row r="134">
      <c r="A134" s="7" t="n"/>
      <c r="B134" s="7" t="n"/>
      <c r="C134" s="7" t="n"/>
      <c r="D134" s="7" t="n"/>
      <c r="E134" s="9" t="n"/>
      <c r="F134" s="7" t="n"/>
      <c r="G134" s="7" t="n"/>
      <c r="H134" s="7" t="n"/>
    </row>
    <row r="135">
      <c r="A135" s="7" t="n"/>
      <c r="B135" s="7" t="n"/>
      <c r="C135" s="7" t="n"/>
      <c r="D135" s="7" t="n"/>
      <c r="E135" s="9" t="n"/>
      <c r="F135" s="7" t="n"/>
      <c r="G135" s="7" t="n"/>
      <c r="H135" s="7" t="n"/>
    </row>
    <row r="136">
      <c r="A136" s="7" t="n"/>
      <c r="B136" s="7" t="n"/>
      <c r="C136" s="7" t="n"/>
      <c r="D136" s="7" t="n"/>
      <c r="E136" s="9" t="n"/>
      <c r="F136" s="7" t="n"/>
      <c r="G136" s="7" t="n"/>
      <c r="H136" s="7" t="n"/>
    </row>
    <row r="137">
      <c r="A137" s="7" t="n"/>
      <c r="B137" s="7" t="n"/>
      <c r="C137" s="7" t="n"/>
      <c r="D137" s="7" t="n"/>
      <c r="E137" s="9" t="n"/>
      <c r="F137" s="7" t="n"/>
      <c r="G137" s="7" t="n"/>
      <c r="H137" s="7" t="n"/>
    </row>
    <row r="138">
      <c r="A138" s="7" t="n"/>
      <c r="B138" s="7" t="n"/>
      <c r="C138" s="7" t="n"/>
      <c r="D138" s="7" t="n"/>
      <c r="E138" s="9" t="n"/>
      <c r="F138" s="7" t="n"/>
      <c r="G138" s="7" t="n"/>
      <c r="H138" s="7" t="n"/>
    </row>
    <row r="139">
      <c r="A139" s="7" t="n"/>
      <c r="B139" s="7" t="n"/>
      <c r="C139" s="7" t="n"/>
      <c r="D139" s="7" t="n"/>
      <c r="E139" s="9" t="n"/>
      <c r="F139" s="7" t="n"/>
      <c r="G139" s="7" t="n"/>
      <c r="H139" s="7" t="n"/>
    </row>
    <row r="140">
      <c r="A140" s="7" t="n"/>
      <c r="B140" s="7" t="n"/>
      <c r="C140" s="7" t="n"/>
      <c r="D140" s="7" t="n"/>
      <c r="E140" s="9" t="n"/>
      <c r="F140" s="7" t="n"/>
      <c r="G140" s="7" t="n"/>
      <c r="H140" s="7" t="n"/>
    </row>
    <row r="141">
      <c r="A141" s="7" t="n"/>
      <c r="B141" s="7" t="n"/>
      <c r="C141" s="7" t="n"/>
      <c r="D141" s="7" t="n"/>
      <c r="E141" s="9" t="n"/>
      <c r="F141" s="7" t="n"/>
      <c r="G141" s="7" t="n"/>
      <c r="H141" s="7" t="n"/>
    </row>
    <row r="142">
      <c r="A142" s="7" t="n"/>
      <c r="B142" s="7" t="n"/>
      <c r="C142" s="7" t="n"/>
      <c r="D142" s="7" t="n"/>
      <c r="E142" s="9" t="n"/>
      <c r="F142" s="7" t="n"/>
      <c r="G142" s="7" t="n"/>
      <c r="H142" s="7" t="n"/>
    </row>
    <row r="143">
      <c r="A143" s="7" t="n"/>
      <c r="B143" s="7" t="n"/>
      <c r="C143" s="7" t="n"/>
      <c r="D143" s="7" t="n"/>
      <c r="E143" s="9" t="n"/>
      <c r="F143" s="7" t="n"/>
      <c r="G143" s="7" t="n"/>
      <c r="H143" s="7" t="n"/>
    </row>
    <row r="144">
      <c r="A144" s="7" t="n"/>
      <c r="B144" s="7" t="n"/>
      <c r="C144" s="7" t="n"/>
      <c r="D144" s="7" t="n"/>
      <c r="E144" s="9" t="n"/>
      <c r="F144" s="7" t="n"/>
      <c r="G144" s="7" t="n"/>
      <c r="H144" s="7" t="n"/>
    </row>
    <row r="145">
      <c r="A145" s="7" t="n"/>
      <c r="B145" s="7" t="n"/>
      <c r="C145" s="7" t="n"/>
      <c r="D145" s="7" t="n"/>
      <c r="E145" s="9" t="n"/>
      <c r="F145" s="7" t="n"/>
      <c r="G145" s="7" t="n"/>
      <c r="H145" s="7" t="n"/>
    </row>
    <row r="146">
      <c r="A146" s="7" t="n"/>
      <c r="B146" s="7" t="n"/>
      <c r="C146" s="7" t="n"/>
      <c r="D146" s="7" t="n"/>
      <c r="E146" s="9" t="n"/>
      <c r="F146" s="7" t="n"/>
      <c r="G146" s="7" t="n"/>
      <c r="H146" s="7" t="n"/>
    </row>
    <row r="147">
      <c r="A147" s="7" t="n"/>
      <c r="B147" s="7" t="n"/>
      <c r="C147" s="7" t="n"/>
      <c r="D147" s="7" t="n"/>
      <c r="E147" s="9" t="n"/>
      <c r="F147" s="7" t="n"/>
      <c r="G147" s="7" t="n"/>
      <c r="H147" s="7" t="n"/>
    </row>
    <row r="148">
      <c r="A148" s="7" t="n"/>
      <c r="B148" s="7" t="n"/>
      <c r="C148" s="7" t="n"/>
      <c r="D148" s="7" t="n"/>
      <c r="E148" s="9" t="n"/>
      <c r="F148" s="7" t="n"/>
      <c r="G148" s="7" t="n"/>
      <c r="H148" s="7" t="n"/>
    </row>
    <row r="149">
      <c r="A149" s="7" t="n"/>
      <c r="B149" s="7" t="n"/>
      <c r="C149" s="7" t="n"/>
      <c r="D149" s="7" t="n"/>
      <c r="E149" s="9" t="n"/>
      <c r="F149" s="7" t="n"/>
      <c r="G149" s="7" t="n"/>
      <c r="H149" s="7" t="n"/>
    </row>
    <row r="150">
      <c r="A150" s="7" t="n"/>
      <c r="B150" s="7" t="n"/>
      <c r="C150" s="7" t="n"/>
      <c r="D150" s="7" t="n"/>
      <c r="E150" s="9" t="n"/>
      <c r="F150" s="7" t="n"/>
      <c r="G150" s="7" t="n"/>
      <c r="H150" s="7" t="n"/>
    </row>
    <row r="151">
      <c r="A151" s="7" t="n"/>
      <c r="B151" s="7" t="n"/>
      <c r="C151" s="7" t="n"/>
      <c r="D151" s="7" t="n"/>
      <c r="E151" s="9" t="n"/>
      <c r="F151" s="7" t="n"/>
      <c r="G151" s="7" t="n"/>
      <c r="H151" s="7" t="n"/>
    </row>
    <row r="152">
      <c r="A152" s="7" t="n"/>
      <c r="B152" s="7" t="n"/>
      <c r="C152" s="7" t="n"/>
      <c r="D152" s="7" t="n"/>
      <c r="E152" s="9" t="n"/>
      <c r="F152" s="7" t="n"/>
      <c r="G152" s="7" t="n"/>
      <c r="H152" s="7" t="n"/>
    </row>
    <row r="153">
      <c r="A153" s="7" t="n"/>
      <c r="B153" s="7" t="n"/>
      <c r="C153" s="7" t="n"/>
      <c r="D153" s="7" t="n"/>
      <c r="E153" s="9" t="n"/>
      <c r="F153" s="7" t="n"/>
      <c r="G153" s="7" t="n"/>
      <c r="H153" s="7" t="n"/>
    </row>
    <row r="154">
      <c r="A154" s="7" t="n"/>
      <c r="B154" s="7" t="n"/>
      <c r="C154" s="7" t="n"/>
      <c r="D154" s="7" t="n"/>
      <c r="E154" s="9" t="n"/>
      <c r="F154" s="7" t="n"/>
      <c r="G154" s="7" t="n"/>
      <c r="H154" s="7" t="n"/>
    </row>
    <row r="155">
      <c r="A155" s="7" t="n"/>
      <c r="B155" s="7" t="n"/>
      <c r="C155" s="7" t="n"/>
      <c r="D155" s="7" t="n"/>
      <c r="E155" s="9" t="n"/>
      <c r="F155" s="7" t="n"/>
      <c r="G155" s="7" t="n"/>
      <c r="H155" s="7" t="n"/>
    </row>
    <row r="156">
      <c r="A156" s="7" t="n"/>
      <c r="B156" s="7" t="n"/>
      <c r="C156" s="7" t="n"/>
      <c r="D156" s="7" t="n"/>
      <c r="E156" s="9" t="n"/>
      <c r="F156" s="7" t="n"/>
      <c r="G156" s="7" t="n"/>
      <c r="H156" s="7" t="n"/>
    </row>
    <row r="157">
      <c r="A157" s="7" t="n"/>
      <c r="B157" s="7" t="n"/>
      <c r="C157" s="7" t="n"/>
      <c r="D157" s="7" t="n"/>
      <c r="E157" s="9" t="n"/>
      <c r="F157" s="7" t="n"/>
      <c r="G157" s="7" t="n"/>
      <c r="H157" s="7" t="n"/>
    </row>
    <row r="158">
      <c r="A158" s="7" t="n"/>
      <c r="B158" s="7" t="n"/>
      <c r="C158" s="7" t="n"/>
      <c r="D158" s="7" t="n"/>
      <c r="E158" s="9" t="n"/>
      <c r="F158" s="7" t="n"/>
      <c r="G158" s="7" t="n"/>
      <c r="H158" s="7" t="n"/>
    </row>
    <row r="159">
      <c r="A159" s="7" t="n"/>
      <c r="B159" s="7" t="n"/>
      <c r="C159" s="7" t="n"/>
      <c r="D159" s="7" t="n"/>
      <c r="E159" s="9" t="n"/>
      <c r="F159" s="7" t="n"/>
      <c r="G159" s="7" t="n"/>
      <c r="H159" s="7" t="n"/>
    </row>
    <row r="160">
      <c r="A160" s="7" t="n"/>
      <c r="B160" s="7" t="n"/>
      <c r="C160" s="7" t="n"/>
      <c r="D160" s="7" t="n"/>
      <c r="E160" s="9" t="n"/>
      <c r="F160" s="7" t="n"/>
      <c r="G160" s="7" t="n"/>
      <c r="H160" s="7" t="n"/>
    </row>
    <row r="161">
      <c r="A161" s="7" t="n"/>
      <c r="B161" s="7" t="n"/>
      <c r="C161" s="7" t="n"/>
      <c r="D161" s="7" t="n"/>
      <c r="E161" s="9" t="n"/>
      <c r="F161" s="7" t="n"/>
      <c r="G161" s="7" t="n"/>
      <c r="H161" s="7" t="n"/>
    </row>
    <row r="162">
      <c r="A162" s="7" t="n"/>
      <c r="B162" s="7" t="n"/>
      <c r="C162" s="7" t="n"/>
      <c r="D162" s="7" t="n"/>
      <c r="E162" s="9" t="n"/>
      <c r="F162" s="7" t="n"/>
      <c r="G162" s="7" t="n"/>
      <c r="H162" s="7" t="n"/>
    </row>
    <row r="163">
      <c r="A163" s="7" t="n"/>
      <c r="B163" s="7" t="n"/>
      <c r="C163" s="7" t="n"/>
      <c r="D163" s="7" t="n"/>
      <c r="E163" s="9" t="n"/>
      <c r="F163" s="7" t="n"/>
      <c r="G163" s="7" t="n"/>
      <c r="H163" s="7" t="n"/>
    </row>
    <row r="164">
      <c r="A164" s="7" t="n"/>
      <c r="B164" s="7" t="n"/>
      <c r="C164" s="7" t="n"/>
      <c r="D164" s="7" t="n"/>
      <c r="E164" s="9" t="n"/>
      <c r="F164" s="7" t="n"/>
      <c r="G164" s="7" t="n"/>
      <c r="H164" s="7" t="n"/>
    </row>
    <row r="165">
      <c r="A165" s="7" t="n"/>
      <c r="B165" s="7" t="n"/>
      <c r="C165" s="7" t="n"/>
      <c r="D165" s="7" t="n"/>
      <c r="E165" s="9" t="n"/>
      <c r="F165" s="7" t="n"/>
      <c r="G165" s="7" t="n"/>
      <c r="H165" s="7" t="n"/>
    </row>
    <row r="166">
      <c r="A166" s="7" t="n"/>
      <c r="B166" s="7" t="n"/>
      <c r="C166" s="7" t="n"/>
      <c r="D166" s="7" t="n"/>
      <c r="E166" s="9" t="n"/>
      <c r="F166" s="7" t="n"/>
      <c r="G166" s="7" t="n"/>
      <c r="H166" s="7" t="n"/>
    </row>
    <row r="167">
      <c r="A167" s="7" t="n"/>
      <c r="B167" s="7" t="n"/>
      <c r="C167" s="7" t="n"/>
      <c r="D167" s="7" t="n"/>
      <c r="E167" s="9" t="n"/>
      <c r="F167" s="7" t="n"/>
      <c r="G167" s="7" t="n"/>
      <c r="H167" s="7" t="n"/>
    </row>
    <row r="168">
      <c r="A168" s="7" t="n"/>
      <c r="B168" s="7" t="n"/>
      <c r="C168" s="7" t="n"/>
      <c r="D168" s="7" t="n"/>
      <c r="E168" s="9" t="n"/>
      <c r="F168" s="7" t="n"/>
      <c r="G168" s="7" t="n"/>
      <c r="H168" s="7" t="n"/>
    </row>
    <row r="169">
      <c r="A169" s="7" t="n"/>
      <c r="B169" s="7" t="n"/>
      <c r="C169" s="7" t="n"/>
      <c r="D169" s="7" t="n"/>
      <c r="E169" s="9" t="n"/>
      <c r="F169" s="7" t="n"/>
      <c r="G169" s="7" t="n"/>
      <c r="H169" s="7" t="n"/>
    </row>
    <row r="170">
      <c r="A170" s="7" t="n"/>
      <c r="B170" s="7" t="n"/>
      <c r="C170" s="7" t="n"/>
      <c r="D170" s="7" t="n"/>
      <c r="E170" s="9" t="n"/>
      <c r="F170" s="7" t="n"/>
      <c r="G170" s="7" t="n"/>
      <c r="H170" s="7" t="n"/>
    </row>
    <row r="171">
      <c r="A171" s="7" t="n"/>
      <c r="B171" s="7" t="n"/>
      <c r="C171" s="7" t="n"/>
      <c r="D171" s="7" t="n"/>
      <c r="E171" s="9" t="n"/>
      <c r="F171" s="7" t="n"/>
      <c r="G171" s="7" t="n"/>
      <c r="H171" s="7" t="n"/>
    </row>
    <row r="172">
      <c r="A172" s="7" t="n"/>
      <c r="B172" s="7" t="n"/>
      <c r="C172" s="7" t="n"/>
      <c r="D172" s="7" t="n"/>
      <c r="E172" s="9" t="n"/>
      <c r="F172" s="7" t="n"/>
      <c r="G172" s="7" t="n"/>
      <c r="H172" s="7" t="n"/>
    </row>
    <row r="173">
      <c r="A173" s="7" t="n"/>
      <c r="B173" s="7" t="n"/>
      <c r="C173" s="7" t="n"/>
      <c r="D173" s="7" t="n"/>
      <c r="E173" s="9" t="n"/>
      <c r="F173" s="7" t="n"/>
      <c r="G173" s="7" t="n"/>
      <c r="H173" s="7" t="n"/>
    </row>
    <row r="174">
      <c r="A174" s="7" t="n"/>
      <c r="B174" s="7" t="n"/>
      <c r="C174" s="7" t="n"/>
      <c r="D174" s="7" t="n"/>
      <c r="E174" s="9" t="n"/>
      <c r="F174" s="7" t="n"/>
      <c r="G174" s="7" t="n"/>
      <c r="H174" s="7" t="n"/>
    </row>
    <row r="175">
      <c r="A175" s="7" t="n"/>
      <c r="B175" s="7" t="n"/>
      <c r="C175" s="7" t="n"/>
      <c r="D175" s="7" t="n"/>
      <c r="E175" s="9" t="n"/>
      <c r="F175" s="7" t="n"/>
      <c r="G175" s="7" t="n"/>
      <c r="H175" s="7" t="n"/>
    </row>
    <row r="176">
      <c r="A176" s="7" t="n"/>
      <c r="B176" s="7" t="n"/>
      <c r="C176" s="7" t="n"/>
      <c r="D176" s="7" t="n"/>
      <c r="E176" s="9" t="n"/>
      <c r="F176" s="7" t="n"/>
      <c r="G176" s="7" t="n"/>
      <c r="H176" s="7" t="n"/>
    </row>
    <row r="177">
      <c r="A177" s="7" t="n"/>
      <c r="B177" s="7" t="n"/>
      <c r="C177" s="7" t="n"/>
      <c r="D177" s="7" t="n"/>
      <c r="E177" s="9" t="n"/>
      <c r="F177" s="7" t="n"/>
      <c r="G177" s="7" t="n"/>
      <c r="H177" s="7" t="n"/>
    </row>
    <row r="178">
      <c r="A178" s="7" t="n"/>
      <c r="B178" s="7" t="n"/>
      <c r="C178" s="7" t="n"/>
      <c r="D178" s="7" t="n"/>
      <c r="E178" s="9" t="n"/>
      <c r="F178" s="7" t="n"/>
      <c r="G178" s="7" t="n"/>
      <c r="H178" s="7" t="n"/>
    </row>
    <row r="179">
      <c r="A179" s="7" t="n"/>
      <c r="B179" s="7" t="n"/>
      <c r="C179" s="7" t="n"/>
      <c r="D179" s="7" t="n"/>
      <c r="E179" s="9" t="n"/>
      <c r="F179" s="7" t="n"/>
      <c r="G179" s="7" t="n"/>
      <c r="H179" s="7" t="n"/>
    </row>
    <row r="180">
      <c r="A180" s="7" t="n"/>
      <c r="B180" s="7" t="n"/>
      <c r="C180" s="7" t="n"/>
      <c r="D180" s="7" t="n"/>
      <c r="E180" s="9" t="n"/>
      <c r="F180" s="7" t="n"/>
      <c r="G180" s="7" t="n"/>
      <c r="H180" s="7" t="n"/>
    </row>
    <row r="181">
      <c r="A181" s="7" t="n"/>
      <c r="B181" s="7" t="n"/>
      <c r="C181" s="7" t="n"/>
      <c r="D181" s="7" t="n"/>
      <c r="E181" s="9" t="n"/>
      <c r="F181" s="7" t="n"/>
      <c r="G181" s="7" t="n"/>
      <c r="H181" s="7" t="n"/>
    </row>
    <row r="182">
      <c r="A182" s="7" t="n"/>
      <c r="B182" s="7" t="n"/>
      <c r="C182" s="7" t="n"/>
      <c r="D182" s="7" t="n"/>
      <c r="E182" s="9" t="n"/>
      <c r="F182" s="7" t="n"/>
      <c r="G182" s="7" t="n"/>
      <c r="H182" s="7" t="n"/>
    </row>
    <row r="183">
      <c r="A183" s="7" t="n"/>
      <c r="B183" s="7" t="n"/>
      <c r="C183" s="7" t="n"/>
      <c r="D183" s="7" t="n"/>
      <c r="E183" s="9" t="n"/>
      <c r="F183" s="7" t="n"/>
      <c r="G183" s="7" t="n"/>
      <c r="H183" s="7" t="n"/>
    </row>
    <row r="184">
      <c r="A184" s="7" t="n"/>
      <c r="B184" s="7" t="n"/>
      <c r="C184" s="7" t="n"/>
      <c r="D184" s="7" t="n"/>
      <c r="E184" s="9" t="n"/>
      <c r="F184" s="7" t="n"/>
      <c r="G184" s="7" t="n"/>
      <c r="H184" s="7" t="n"/>
    </row>
    <row r="185">
      <c r="A185" s="7" t="n"/>
      <c r="B185" s="7" t="n"/>
      <c r="C185" s="7" t="n"/>
      <c r="D185" s="7" t="n"/>
      <c r="E185" s="9" t="n"/>
      <c r="F185" s="7" t="n"/>
      <c r="G185" s="7" t="n"/>
      <c r="H185" s="7" t="n"/>
    </row>
    <row r="186">
      <c r="A186" s="7" t="n"/>
      <c r="B186" s="7" t="n"/>
      <c r="C186" s="7" t="n"/>
      <c r="D186" s="7" t="n"/>
      <c r="E186" s="9" t="n"/>
      <c r="F186" s="7" t="n"/>
      <c r="G186" s="7" t="n"/>
      <c r="H186" s="7" t="n"/>
    </row>
    <row r="187">
      <c r="A187" s="7" t="n"/>
      <c r="B187" s="7" t="n"/>
      <c r="C187" s="7" t="n"/>
      <c r="D187" s="7" t="n"/>
      <c r="E187" s="9" t="n"/>
      <c r="F187" s="7" t="n"/>
      <c r="G187" s="7" t="n"/>
      <c r="H187" s="7" t="n"/>
    </row>
    <row r="188">
      <c r="A188" s="7" t="n"/>
      <c r="B188" s="7" t="n"/>
      <c r="C188" s="7" t="n"/>
      <c r="D188" s="7" t="n"/>
      <c r="E188" s="9" t="n"/>
      <c r="F188" s="7" t="n"/>
      <c r="G188" s="7" t="n"/>
      <c r="H188" s="7" t="n"/>
    </row>
    <row r="189">
      <c r="A189" s="7" t="n"/>
      <c r="B189" s="7" t="n"/>
      <c r="C189" s="7" t="n"/>
      <c r="D189" s="7" t="n"/>
      <c r="E189" s="9" t="n"/>
      <c r="F189" s="7" t="n"/>
      <c r="G189" s="7" t="n"/>
      <c r="H189" s="7" t="n"/>
    </row>
    <row r="190">
      <c r="A190" s="7" t="n"/>
      <c r="B190" s="7" t="n"/>
      <c r="C190" s="7" t="n"/>
      <c r="D190" s="7" t="n"/>
      <c r="E190" s="9" t="n"/>
      <c r="F190" s="7" t="n"/>
      <c r="G190" s="7" t="n"/>
      <c r="H190" s="7" t="n"/>
    </row>
    <row r="191">
      <c r="A191" s="7" t="n"/>
      <c r="B191" s="7" t="n"/>
      <c r="C191" s="7" t="n"/>
      <c r="D191" s="7" t="n"/>
      <c r="E191" s="9" t="n"/>
      <c r="F191" s="7" t="n"/>
      <c r="G191" s="7" t="n"/>
      <c r="H191" s="7" t="n"/>
    </row>
    <row r="192">
      <c r="A192" s="7" t="n"/>
      <c r="B192" s="7" t="n"/>
      <c r="C192" s="7" t="n"/>
      <c r="D192" s="7" t="n"/>
      <c r="E192" s="9" t="n"/>
      <c r="F192" s="7" t="n"/>
      <c r="G192" s="7" t="n"/>
      <c r="H192" s="7" t="n"/>
    </row>
    <row r="193">
      <c r="A193" s="7" t="n"/>
      <c r="B193" s="7" t="n"/>
      <c r="C193" s="7" t="n"/>
      <c r="D193" s="7" t="n"/>
      <c r="E193" s="9" t="n"/>
      <c r="F193" s="7" t="n"/>
      <c r="G193" s="7" t="n"/>
      <c r="H193" s="7" t="n"/>
    </row>
    <row r="194">
      <c r="A194" s="7" t="n"/>
      <c r="B194" s="7" t="n"/>
      <c r="C194" s="7" t="n"/>
      <c r="D194" s="7" t="n"/>
      <c r="E194" s="9" t="n"/>
      <c r="F194" s="7" t="n"/>
      <c r="G194" s="7" t="n"/>
      <c r="H194" s="7" t="n"/>
    </row>
    <row r="195">
      <c r="A195" s="7" t="n"/>
      <c r="B195" s="7" t="n"/>
      <c r="C195" s="7" t="n"/>
      <c r="D195" s="7" t="n"/>
      <c r="E195" s="9" t="n"/>
      <c r="F195" s="7" t="n"/>
      <c r="G195" s="7" t="n"/>
      <c r="H195" s="7" t="n"/>
    </row>
    <row r="196">
      <c r="A196" s="7" t="n"/>
      <c r="B196" s="7" t="n"/>
      <c r="C196" s="7" t="n"/>
      <c r="D196" s="7" t="n"/>
      <c r="E196" s="9" t="n"/>
      <c r="F196" s="7" t="n"/>
      <c r="G196" s="7" t="n"/>
      <c r="H196" s="7" t="n"/>
    </row>
    <row r="197">
      <c r="A197" s="7" t="n"/>
      <c r="B197" s="7" t="n"/>
      <c r="C197" s="7" t="n"/>
      <c r="D197" s="7" t="n"/>
      <c r="E197" s="9" t="n"/>
      <c r="F197" s="7" t="n"/>
      <c r="G197" s="7" t="n"/>
      <c r="H197" s="7" t="n"/>
    </row>
    <row r="198">
      <c r="A198" s="7" t="n"/>
      <c r="B198" s="7" t="n"/>
      <c r="C198" s="7" t="n"/>
      <c r="D198" s="7" t="n"/>
      <c r="E198" s="9" t="n"/>
      <c r="F198" s="7" t="n"/>
      <c r="G198" s="7" t="n"/>
      <c r="H198" s="7" t="n"/>
    </row>
    <row r="199">
      <c r="A199" s="7" t="n"/>
      <c r="B199" s="7" t="n"/>
      <c r="C199" s="7" t="n"/>
      <c r="D199" s="7" t="n"/>
      <c r="E199" s="9" t="n"/>
      <c r="F199" s="7" t="n"/>
      <c r="G199" s="7" t="n"/>
      <c r="H199" s="7" t="n"/>
    </row>
    <row r="200">
      <c r="A200" s="7" t="n"/>
      <c r="B200" s="7" t="n"/>
      <c r="C200" s="7" t="n"/>
      <c r="D200" s="7" t="n"/>
      <c r="E200" s="9" t="n"/>
      <c r="F200" s="7" t="n"/>
      <c r="G200" s="7" t="n"/>
      <c r="H200" s="7" t="n"/>
    </row>
    <row r="201">
      <c r="A201" s="7" t="n"/>
      <c r="B201" s="7" t="n"/>
      <c r="C201" s="7" t="n"/>
      <c r="D201" s="7" t="n"/>
      <c r="E201" s="9" t="n"/>
      <c r="F201" s="7" t="n"/>
      <c r="G201" s="7" t="n"/>
      <c r="H201" s="7" t="n"/>
    </row>
    <row r="202">
      <c r="A202" s="7" t="n"/>
      <c r="B202" s="7" t="n"/>
      <c r="C202" s="7" t="n"/>
      <c r="D202" s="7" t="n"/>
      <c r="E202" s="9" t="n"/>
      <c r="F202" s="7" t="n"/>
      <c r="G202" s="7" t="n"/>
      <c r="H202" s="7" t="n"/>
    </row>
    <row r="203">
      <c r="A203" s="7" t="n"/>
      <c r="B203" s="7" t="n"/>
      <c r="C203" s="7" t="n"/>
      <c r="D203" s="7" t="n"/>
      <c r="E203" s="9" t="n"/>
      <c r="F203" s="7" t="n"/>
      <c r="G203" s="7" t="n"/>
      <c r="H203" s="7" t="n"/>
    </row>
    <row r="204">
      <c r="A204" s="7" t="n"/>
      <c r="B204" s="7" t="n"/>
      <c r="C204" s="7" t="n"/>
      <c r="D204" s="7" t="n"/>
      <c r="E204" s="9" t="n"/>
      <c r="F204" s="7" t="n"/>
      <c r="G204" s="7" t="n"/>
      <c r="H204" s="7" t="n"/>
    </row>
    <row r="205">
      <c r="A205" s="7" t="n"/>
      <c r="B205" s="7" t="n"/>
      <c r="C205" s="7" t="n"/>
      <c r="D205" s="7" t="n"/>
      <c r="E205" s="9" t="n"/>
      <c r="F205" s="7" t="n"/>
      <c r="G205" s="7" t="n"/>
      <c r="H205" s="7" t="n"/>
    </row>
    <row r="206">
      <c r="A206" s="7" t="n"/>
      <c r="B206" s="7" t="n"/>
      <c r="C206" s="7" t="n"/>
      <c r="D206" s="7" t="n"/>
      <c r="E206" s="9" t="n"/>
      <c r="F206" s="7" t="n"/>
      <c r="G206" s="7" t="n"/>
      <c r="H206" s="7" t="n"/>
    </row>
    <row r="207">
      <c r="A207" s="7" t="n"/>
      <c r="B207" s="7" t="n"/>
      <c r="C207" s="7" t="n"/>
      <c r="D207" s="7" t="n"/>
      <c r="E207" s="9" t="n"/>
      <c r="F207" s="7" t="n"/>
      <c r="G207" s="7" t="n"/>
      <c r="H207" s="7" t="n"/>
    </row>
    <row r="208">
      <c r="A208" s="7" t="n"/>
      <c r="B208" s="7" t="n"/>
      <c r="C208" s="7" t="n"/>
      <c r="D208" s="7" t="n"/>
      <c r="E208" s="9" t="n"/>
      <c r="F208" s="7" t="n"/>
      <c r="G208" s="7" t="n"/>
      <c r="H208" s="7" t="n"/>
    </row>
    <row r="209">
      <c r="A209" s="7" t="n"/>
      <c r="B209" s="7" t="n"/>
      <c r="C209" s="7" t="n"/>
      <c r="D209" s="7" t="n"/>
      <c r="E209" s="9" t="n"/>
      <c r="F209" s="7" t="n"/>
      <c r="G209" s="7" t="n"/>
      <c r="H209" s="7" t="n"/>
    </row>
    <row r="210">
      <c r="A210" s="7" t="n"/>
      <c r="B210" s="7" t="n"/>
      <c r="C210" s="7" t="n"/>
      <c r="D210" s="7" t="n"/>
      <c r="E210" s="9" t="n"/>
      <c r="F210" s="7" t="n"/>
      <c r="G210" s="7" t="n"/>
      <c r="H210" s="7" t="n"/>
    </row>
    <row r="211">
      <c r="A211" s="7" t="n"/>
      <c r="B211" s="7" t="n"/>
      <c r="C211" s="7" t="n"/>
      <c r="D211" s="7" t="n"/>
      <c r="E211" s="9" t="n"/>
      <c r="F211" s="7" t="n"/>
      <c r="G211" s="7" t="n"/>
      <c r="H211" s="7" t="n"/>
    </row>
    <row r="212">
      <c r="A212" s="7" t="n"/>
      <c r="B212" s="7" t="n"/>
      <c r="C212" s="7" t="n"/>
      <c r="D212" s="7" t="n"/>
      <c r="E212" s="9" t="n"/>
      <c r="F212" s="7" t="n"/>
      <c r="G212" s="7" t="n"/>
      <c r="H212" s="7" t="n"/>
    </row>
    <row r="213">
      <c r="A213" s="7" t="n"/>
      <c r="B213" s="7" t="n"/>
      <c r="C213" s="7" t="n"/>
      <c r="D213" s="7" t="n"/>
      <c r="E213" s="9" t="n"/>
      <c r="F213" s="7" t="n"/>
      <c r="G213" s="7" t="n"/>
      <c r="H213" s="7" t="n"/>
    </row>
    <row r="214">
      <c r="A214" s="7" t="n"/>
      <c r="B214" s="7" t="n"/>
      <c r="C214" s="7" t="n"/>
      <c r="D214" s="7" t="n"/>
      <c r="E214" s="9" t="n"/>
      <c r="F214" s="7" t="n"/>
      <c r="G214" s="7" t="n"/>
      <c r="H214" s="7" t="n"/>
    </row>
    <row r="215">
      <c r="A215" s="7" t="n"/>
      <c r="B215" s="7" t="n"/>
      <c r="C215" s="7" t="n"/>
      <c r="D215" s="7" t="n"/>
      <c r="E215" s="9" t="n"/>
      <c r="F215" s="7" t="n"/>
      <c r="G215" s="7" t="n"/>
      <c r="H215" s="7" t="n"/>
    </row>
    <row r="216">
      <c r="A216" s="7" t="n"/>
      <c r="B216" s="7" t="n"/>
      <c r="C216" s="7" t="n"/>
      <c r="D216" s="7" t="n"/>
      <c r="E216" s="9" t="n"/>
      <c r="F216" s="7" t="n"/>
      <c r="G216" s="7" t="n"/>
      <c r="H216" s="7" t="n"/>
    </row>
    <row r="217">
      <c r="A217" s="7" t="n"/>
      <c r="B217" s="7" t="n"/>
      <c r="C217" s="7" t="n"/>
      <c r="D217" s="7" t="n"/>
      <c r="E217" s="9" t="n"/>
      <c r="F217" s="7" t="n"/>
      <c r="G217" s="7" t="n"/>
      <c r="H217" s="7" t="n"/>
    </row>
    <row r="218">
      <c r="A218" s="7" t="n"/>
      <c r="B218" s="7" t="n"/>
      <c r="C218" s="7" t="n"/>
      <c r="D218" s="7" t="n"/>
      <c r="E218" s="9" t="n"/>
      <c r="F218" s="7" t="n"/>
      <c r="G218" s="7" t="n"/>
      <c r="H218" s="7" t="n"/>
    </row>
  </sheetData>
  <sheetProtection selectLockedCells="0" selectUnlockedCells="0" sheet="1" objects="0" insertRows="0" insertHyperlinks="1" autoFilter="1" scenarios="0" formatColumns="1" deleteColumns="1" insertColumns="1" pivotTables="1" deleteRows="1" formatCells="0" formatRows="1" sort="1"/>
  <dataValidations count="4">
    <dataValidation sqref="A19:A218" showDropDown="0" showInputMessage="0" showErrorMessage="1" allowBlank="1" errorTitle="Pick from the list" error="Choose one of the options in the dropdown." type="list">
      <formula1>"bank,brokerage,retirement,life insurance,real estate,vehicle,personal property,business,receivable,digital"</formula1>
    </dataValidation>
    <dataValidation sqref="D19:D218" showDropDown="0" showInputMessage="0" showErrorMessage="1" allowBlank="1" errorTitle="Pick from the list" error="Choose one of the options in the dropdown." type="list">
      <formula1>"A,B,C"</formula1>
    </dataValidation>
    <dataValidation sqref="F19:F218" showDropDown="0" showInputMessage="0" showErrorMessage="1" allowBlank="1" errorTitle="Pick from the list" error="Choose one of the options in the dropdown." type="list">
      <formula1>"statement,appraisal,guide value,estimate"</formula1>
    </dataValidation>
    <dataValidation sqref="G19:G218" showDropDown="0" showInputMessage="0" showErrorMessage="1" allowBlank="1" errorTitle="Pick from the list" error="Choose one of the options in the dropdown." type="list">
      <formula1>"located,valued,retitled,sold,distributed"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2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4" customWidth="1" min="3" max="3"/>
    <col width="16" customWidth="1" min="4" max="4"/>
    <col width="16" customWidth="1" min="5" max="5"/>
    <col width="18" customWidth="1" min="6" max="6"/>
    <col width="10" customWidth="1" min="7" max="7"/>
    <col width="44" customWidth="1" min="8" max="8"/>
  </cols>
  <sheetData>
    <row r="1">
      <c r="A1" s="1" t="inlineStr">
        <is>
          <t>THE EXECUTOR'S DESK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Ledger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Every transaction in the estate bank account. Reconcile to the statement monthly.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11" t="inlineStr">
        <is>
          <t>Total money in</t>
        </is>
      </c>
      <c r="B5" s="13">
        <f>SUM($D$13:$D$212)</f>
        <v/>
      </c>
      <c r="C5" s="2" t="n"/>
      <c r="D5" s="2" t="n"/>
      <c r="E5" s="2" t="n"/>
      <c r="F5" s="2" t="n"/>
      <c r="G5" s="2" t="n"/>
      <c r="H5" s="2" t="n"/>
    </row>
    <row r="6">
      <c r="A6" s="11" t="inlineStr">
        <is>
          <t>Total money out</t>
        </is>
      </c>
      <c r="B6" s="13">
        <f>SUM($E$13:$E$212)</f>
        <v/>
      </c>
      <c r="C6" s="2" t="n"/>
      <c r="D6" s="2" t="n"/>
      <c r="E6" s="2" t="n"/>
      <c r="F6" s="2" t="n"/>
      <c r="G6" s="2" t="n"/>
      <c r="H6" s="2" t="n"/>
    </row>
    <row r="7">
      <c r="A7" s="6" t="inlineStr">
        <is>
          <t>Balance in estate account</t>
        </is>
      </c>
      <c r="B7" s="14">
        <f>B5-B6</f>
        <v/>
      </c>
      <c r="C7" s="2" t="n"/>
      <c r="D7" s="2" t="n"/>
      <c r="E7" s="2" t="n"/>
      <c r="F7" s="2" t="n"/>
      <c r="G7" s="2" t="n"/>
      <c r="H7" s="2" t="n"/>
    </row>
    <row r="8">
      <c r="A8" s="11" t="inlineStr">
        <is>
          <t>Outgoing rows without a receipt</t>
        </is>
      </c>
      <c r="B8" s="11">
        <f>COUNTIFS($E$13:$E$212,"&gt;0",$G$13:$G$212,"&lt;&gt;Yes")</f>
        <v/>
      </c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4" t="inlineStr">
        <is>
          <t>Money in goes in column D, money out in column E. Never both on one row. Receipt = Yes for every outgoing amount.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30" customHeight="1">
      <c r="A12" s="15" t="inlineStr">
        <is>
          <t>Date</t>
        </is>
      </c>
      <c r="B12" s="15" t="inlineStr">
        <is>
          <t>Payee / payer</t>
        </is>
      </c>
      <c r="C12" s="15" t="inlineStr">
        <is>
          <t>Category</t>
        </is>
      </c>
      <c r="D12" s="15" t="inlineStr">
        <is>
          <t>Money in</t>
        </is>
      </c>
      <c r="E12" s="15" t="inlineStr">
        <is>
          <t>Money out</t>
        </is>
      </c>
      <c r="F12" s="15" t="inlineStr">
        <is>
          <t>Running balance</t>
        </is>
      </c>
      <c r="G12" s="15" t="inlineStr">
        <is>
          <t>Receipt?</t>
        </is>
      </c>
      <c r="H12" s="15" t="inlineStr">
        <is>
          <t>Notes</t>
        </is>
      </c>
    </row>
    <row r="13">
      <c r="A13" s="18" t="n">
        <v>46114</v>
      </c>
      <c r="B13" s="16" t="inlineStr">
        <is>
          <t>First County Bank (transfer of sole-name checking)</t>
        </is>
      </c>
      <c r="C13" s="16" t="inlineStr">
        <is>
          <t>transfer in</t>
        </is>
      </c>
      <c r="D13" s="17" t="n">
        <v>12480.22</v>
      </c>
      <c r="E13" s="9" t="n"/>
      <c r="F13" s="19">
        <f>IF(AND(D13="",E13=""),"",SUM($D$13:D13)-SUM($E$13:E13))</f>
        <v/>
      </c>
      <c r="G13" s="16" t="inlineStr">
        <is>
          <t>Yes</t>
        </is>
      </c>
      <c r="H13" s="16" t="inlineStr">
        <is>
          <t>Closing statement attached</t>
        </is>
      </c>
    </row>
    <row r="14">
      <c r="A14" s="18" t="n">
        <v>46117</v>
      </c>
      <c r="B14" s="16" t="inlineStr">
        <is>
          <t>Dayton Daily News</t>
        </is>
      </c>
      <c r="C14" s="16" t="inlineStr">
        <is>
          <t>administration</t>
        </is>
      </c>
      <c r="D14" s="9" t="n"/>
      <c r="E14" s="17" t="n">
        <v>145</v>
      </c>
      <c r="F14" s="19">
        <f>IF(AND(D14="",E14=""),"",SUM($D$13:D14)-SUM($E$13:E14))</f>
        <v/>
      </c>
      <c r="G14" s="16" t="inlineStr">
        <is>
          <t>Yes</t>
        </is>
      </c>
      <c r="H14" s="16" t="inlineStr">
        <is>
          <t>Notice to creditors, 3 runs</t>
        </is>
      </c>
    </row>
    <row r="15">
      <c r="A15" s="18" t="n">
        <v>46121</v>
      </c>
      <c r="B15" s="16" t="inlineStr">
        <is>
          <t>Reimbursement to executor: death certificates</t>
        </is>
      </c>
      <c r="C15" s="16" t="inlineStr">
        <is>
          <t>reimbursement to executor</t>
        </is>
      </c>
      <c r="D15" s="9" t="n"/>
      <c r="E15" s="17" t="n">
        <v>187.5</v>
      </c>
      <c r="F15" s="19">
        <f>IF(AND(D15="",E15=""),"",SUM($D$13:D15)-SUM($E$13:E15))</f>
        <v/>
      </c>
      <c r="G15" s="16" t="inlineStr">
        <is>
          <t>No</t>
        </is>
      </c>
      <c r="H15" s="16" t="inlineStr">
        <is>
          <t>Receipt in folder, not yet scanned</t>
        </is>
      </c>
    </row>
    <row r="16">
      <c r="A16" s="8" t="n"/>
      <c r="B16" s="7" t="n"/>
      <c r="C16" s="7" t="n"/>
      <c r="D16" s="9" t="n"/>
      <c r="E16" s="9" t="n"/>
      <c r="F16" s="19">
        <f>IF(AND(D16="",E16=""),"",SUM($D$13:D16)-SUM($E$13:E16))</f>
        <v/>
      </c>
      <c r="G16" s="7" t="n"/>
      <c r="H16" s="7" t="n"/>
    </row>
    <row r="17">
      <c r="A17" s="8" t="n"/>
      <c r="B17" s="7" t="n"/>
      <c r="C17" s="7" t="n"/>
      <c r="D17" s="9" t="n"/>
      <c r="E17" s="9" t="n"/>
      <c r="F17" s="19">
        <f>IF(AND(D17="",E17=""),"",SUM($D$13:D17)-SUM($E$13:E17))</f>
        <v/>
      </c>
      <c r="G17" s="7" t="n"/>
      <c r="H17" s="7" t="n"/>
    </row>
    <row r="18">
      <c r="A18" s="8" t="n"/>
      <c r="B18" s="7" t="n"/>
      <c r="C18" s="7" t="n"/>
      <c r="D18" s="9" t="n"/>
      <c r="E18" s="9" t="n"/>
      <c r="F18" s="19">
        <f>IF(AND(D18="",E18=""),"",SUM($D$13:D18)-SUM($E$13:E18))</f>
        <v/>
      </c>
      <c r="G18" s="7" t="n"/>
      <c r="H18" s="7" t="n"/>
    </row>
    <row r="19">
      <c r="A19" s="8" t="n"/>
      <c r="B19" s="7" t="n"/>
      <c r="C19" s="7" t="n"/>
      <c r="D19" s="9" t="n"/>
      <c r="E19" s="9" t="n"/>
      <c r="F19" s="19">
        <f>IF(AND(D19="",E19=""),"",SUM($D$13:D19)-SUM($E$13:E19))</f>
        <v/>
      </c>
      <c r="G19" s="7" t="n"/>
      <c r="H19" s="7" t="n"/>
    </row>
    <row r="20">
      <c r="A20" s="8" t="n"/>
      <c r="B20" s="7" t="n"/>
      <c r="C20" s="7" t="n"/>
      <c r="D20" s="9" t="n"/>
      <c r="E20" s="9" t="n"/>
      <c r="F20" s="19">
        <f>IF(AND(D20="",E20=""),"",SUM($D$13:D20)-SUM($E$13:E20))</f>
        <v/>
      </c>
      <c r="G20" s="7" t="n"/>
      <c r="H20" s="7" t="n"/>
    </row>
    <row r="21">
      <c r="A21" s="8" t="n"/>
      <c r="B21" s="7" t="n"/>
      <c r="C21" s="7" t="n"/>
      <c r="D21" s="9" t="n"/>
      <c r="E21" s="9" t="n"/>
      <c r="F21" s="19">
        <f>IF(AND(D21="",E21=""),"",SUM($D$13:D21)-SUM($E$13:E21))</f>
        <v/>
      </c>
      <c r="G21" s="7" t="n"/>
      <c r="H21" s="7" t="n"/>
    </row>
    <row r="22">
      <c r="A22" s="8" t="n"/>
      <c r="B22" s="7" t="n"/>
      <c r="C22" s="7" t="n"/>
      <c r="D22" s="9" t="n"/>
      <c r="E22" s="9" t="n"/>
      <c r="F22" s="19">
        <f>IF(AND(D22="",E22=""),"",SUM($D$13:D22)-SUM($E$13:E22))</f>
        <v/>
      </c>
      <c r="G22" s="7" t="n"/>
      <c r="H22" s="7" t="n"/>
    </row>
    <row r="23">
      <c r="A23" s="8" t="n"/>
      <c r="B23" s="7" t="n"/>
      <c r="C23" s="7" t="n"/>
      <c r="D23" s="9" t="n"/>
      <c r="E23" s="9" t="n"/>
      <c r="F23" s="19">
        <f>IF(AND(D23="",E23=""),"",SUM($D$13:D23)-SUM($E$13:E23))</f>
        <v/>
      </c>
      <c r="G23" s="7" t="n"/>
      <c r="H23" s="7" t="n"/>
    </row>
    <row r="24">
      <c r="A24" s="8" t="n"/>
      <c r="B24" s="7" t="n"/>
      <c r="C24" s="7" t="n"/>
      <c r="D24" s="9" t="n"/>
      <c r="E24" s="9" t="n"/>
      <c r="F24" s="19">
        <f>IF(AND(D24="",E24=""),"",SUM($D$13:D24)-SUM($E$13:E24))</f>
        <v/>
      </c>
      <c r="G24" s="7" t="n"/>
      <c r="H24" s="7" t="n"/>
    </row>
    <row r="25">
      <c r="A25" s="8" t="n"/>
      <c r="B25" s="7" t="n"/>
      <c r="C25" s="7" t="n"/>
      <c r="D25" s="9" t="n"/>
      <c r="E25" s="9" t="n"/>
      <c r="F25" s="19">
        <f>IF(AND(D25="",E25=""),"",SUM($D$13:D25)-SUM($E$13:E25))</f>
        <v/>
      </c>
      <c r="G25" s="7" t="n"/>
      <c r="H25" s="7" t="n"/>
    </row>
    <row r="26">
      <c r="A26" s="8" t="n"/>
      <c r="B26" s="7" t="n"/>
      <c r="C26" s="7" t="n"/>
      <c r="D26" s="9" t="n"/>
      <c r="E26" s="9" t="n"/>
      <c r="F26" s="19">
        <f>IF(AND(D26="",E26=""),"",SUM($D$13:D26)-SUM($E$13:E26))</f>
        <v/>
      </c>
      <c r="G26" s="7" t="n"/>
      <c r="H26" s="7" t="n"/>
    </row>
    <row r="27">
      <c r="A27" s="8" t="n"/>
      <c r="B27" s="7" t="n"/>
      <c r="C27" s="7" t="n"/>
      <c r="D27" s="9" t="n"/>
      <c r="E27" s="9" t="n"/>
      <c r="F27" s="19">
        <f>IF(AND(D27="",E27=""),"",SUM($D$13:D27)-SUM($E$13:E27))</f>
        <v/>
      </c>
      <c r="G27" s="7" t="n"/>
      <c r="H27" s="7" t="n"/>
    </row>
    <row r="28">
      <c r="A28" s="8" t="n"/>
      <c r="B28" s="7" t="n"/>
      <c r="C28" s="7" t="n"/>
      <c r="D28" s="9" t="n"/>
      <c r="E28" s="9" t="n"/>
      <c r="F28" s="19">
        <f>IF(AND(D28="",E28=""),"",SUM($D$13:D28)-SUM($E$13:E28))</f>
        <v/>
      </c>
      <c r="G28" s="7" t="n"/>
      <c r="H28" s="7" t="n"/>
    </row>
    <row r="29">
      <c r="A29" s="8" t="n"/>
      <c r="B29" s="7" t="n"/>
      <c r="C29" s="7" t="n"/>
      <c r="D29" s="9" t="n"/>
      <c r="E29" s="9" t="n"/>
      <c r="F29" s="19">
        <f>IF(AND(D29="",E29=""),"",SUM($D$13:D29)-SUM($E$13:E29))</f>
        <v/>
      </c>
      <c r="G29" s="7" t="n"/>
      <c r="H29" s="7" t="n"/>
    </row>
    <row r="30">
      <c r="A30" s="8" t="n"/>
      <c r="B30" s="7" t="n"/>
      <c r="C30" s="7" t="n"/>
      <c r="D30" s="9" t="n"/>
      <c r="E30" s="9" t="n"/>
      <c r="F30" s="19">
        <f>IF(AND(D30="",E30=""),"",SUM($D$13:D30)-SUM($E$13:E30))</f>
        <v/>
      </c>
      <c r="G30" s="7" t="n"/>
      <c r="H30" s="7" t="n"/>
    </row>
    <row r="31">
      <c r="A31" s="8" t="n"/>
      <c r="B31" s="7" t="n"/>
      <c r="C31" s="7" t="n"/>
      <c r="D31" s="9" t="n"/>
      <c r="E31" s="9" t="n"/>
      <c r="F31" s="19">
        <f>IF(AND(D31="",E31=""),"",SUM($D$13:D31)-SUM($E$13:E31))</f>
        <v/>
      </c>
      <c r="G31" s="7" t="n"/>
      <c r="H31" s="7" t="n"/>
    </row>
    <row r="32">
      <c r="A32" s="8" t="n"/>
      <c r="B32" s="7" t="n"/>
      <c r="C32" s="7" t="n"/>
      <c r="D32" s="9" t="n"/>
      <c r="E32" s="9" t="n"/>
      <c r="F32" s="19">
        <f>IF(AND(D32="",E32=""),"",SUM($D$13:D32)-SUM($E$13:E32))</f>
        <v/>
      </c>
      <c r="G32" s="7" t="n"/>
      <c r="H32" s="7" t="n"/>
    </row>
    <row r="33">
      <c r="A33" s="8" t="n"/>
      <c r="B33" s="7" t="n"/>
      <c r="C33" s="7" t="n"/>
      <c r="D33" s="9" t="n"/>
      <c r="E33" s="9" t="n"/>
      <c r="F33" s="19">
        <f>IF(AND(D33="",E33=""),"",SUM($D$13:D33)-SUM($E$13:E33))</f>
        <v/>
      </c>
      <c r="G33" s="7" t="n"/>
      <c r="H33" s="7" t="n"/>
    </row>
    <row r="34">
      <c r="A34" s="8" t="n"/>
      <c r="B34" s="7" t="n"/>
      <c r="C34" s="7" t="n"/>
      <c r="D34" s="9" t="n"/>
      <c r="E34" s="9" t="n"/>
      <c r="F34" s="19">
        <f>IF(AND(D34="",E34=""),"",SUM($D$13:D34)-SUM($E$13:E34))</f>
        <v/>
      </c>
      <c r="G34" s="7" t="n"/>
      <c r="H34" s="7" t="n"/>
    </row>
    <row r="35">
      <c r="A35" s="8" t="n"/>
      <c r="B35" s="7" t="n"/>
      <c r="C35" s="7" t="n"/>
      <c r="D35" s="9" t="n"/>
      <c r="E35" s="9" t="n"/>
      <c r="F35" s="19">
        <f>IF(AND(D35="",E35=""),"",SUM($D$13:D35)-SUM($E$13:E35))</f>
        <v/>
      </c>
      <c r="G35" s="7" t="n"/>
      <c r="H35" s="7" t="n"/>
    </row>
    <row r="36">
      <c r="A36" s="8" t="n"/>
      <c r="B36" s="7" t="n"/>
      <c r="C36" s="7" t="n"/>
      <c r="D36" s="9" t="n"/>
      <c r="E36" s="9" t="n"/>
      <c r="F36" s="19">
        <f>IF(AND(D36="",E36=""),"",SUM($D$13:D36)-SUM($E$13:E36))</f>
        <v/>
      </c>
      <c r="G36" s="7" t="n"/>
      <c r="H36" s="7" t="n"/>
    </row>
    <row r="37">
      <c r="A37" s="8" t="n"/>
      <c r="B37" s="7" t="n"/>
      <c r="C37" s="7" t="n"/>
      <c r="D37" s="9" t="n"/>
      <c r="E37" s="9" t="n"/>
      <c r="F37" s="19">
        <f>IF(AND(D37="",E37=""),"",SUM($D$13:D37)-SUM($E$13:E37))</f>
        <v/>
      </c>
      <c r="G37" s="7" t="n"/>
      <c r="H37" s="7" t="n"/>
    </row>
    <row r="38">
      <c r="A38" s="8" t="n"/>
      <c r="B38" s="7" t="n"/>
      <c r="C38" s="7" t="n"/>
      <c r="D38" s="9" t="n"/>
      <c r="E38" s="9" t="n"/>
      <c r="F38" s="19">
        <f>IF(AND(D38="",E38=""),"",SUM($D$13:D38)-SUM($E$13:E38))</f>
        <v/>
      </c>
      <c r="G38" s="7" t="n"/>
      <c r="H38" s="7" t="n"/>
    </row>
    <row r="39">
      <c r="A39" s="8" t="n"/>
      <c r="B39" s="7" t="n"/>
      <c r="C39" s="7" t="n"/>
      <c r="D39" s="9" t="n"/>
      <c r="E39" s="9" t="n"/>
      <c r="F39" s="19">
        <f>IF(AND(D39="",E39=""),"",SUM($D$13:D39)-SUM($E$13:E39))</f>
        <v/>
      </c>
      <c r="G39" s="7" t="n"/>
      <c r="H39" s="7" t="n"/>
    </row>
    <row r="40">
      <c r="A40" s="8" t="n"/>
      <c r="B40" s="7" t="n"/>
      <c r="C40" s="7" t="n"/>
      <c r="D40" s="9" t="n"/>
      <c r="E40" s="9" t="n"/>
      <c r="F40" s="19">
        <f>IF(AND(D40="",E40=""),"",SUM($D$13:D40)-SUM($E$13:E40))</f>
        <v/>
      </c>
      <c r="G40" s="7" t="n"/>
      <c r="H40" s="7" t="n"/>
    </row>
    <row r="41">
      <c r="A41" s="8" t="n"/>
      <c r="B41" s="7" t="n"/>
      <c r="C41" s="7" t="n"/>
      <c r="D41" s="9" t="n"/>
      <c r="E41" s="9" t="n"/>
      <c r="F41" s="19">
        <f>IF(AND(D41="",E41=""),"",SUM($D$13:D41)-SUM($E$13:E41))</f>
        <v/>
      </c>
      <c r="G41" s="7" t="n"/>
      <c r="H41" s="7" t="n"/>
    </row>
    <row r="42">
      <c r="A42" s="8" t="n"/>
      <c r="B42" s="7" t="n"/>
      <c r="C42" s="7" t="n"/>
      <c r="D42" s="9" t="n"/>
      <c r="E42" s="9" t="n"/>
      <c r="F42" s="19">
        <f>IF(AND(D42="",E42=""),"",SUM($D$13:D42)-SUM($E$13:E42))</f>
        <v/>
      </c>
      <c r="G42" s="7" t="n"/>
      <c r="H42" s="7" t="n"/>
    </row>
    <row r="43">
      <c r="A43" s="8" t="n"/>
      <c r="B43" s="7" t="n"/>
      <c r="C43" s="7" t="n"/>
      <c r="D43" s="9" t="n"/>
      <c r="E43" s="9" t="n"/>
      <c r="F43" s="19">
        <f>IF(AND(D43="",E43=""),"",SUM($D$13:D43)-SUM($E$13:E43))</f>
        <v/>
      </c>
      <c r="G43" s="7" t="n"/>
      <c r="H43" s="7" t="n"/>
    </row>
    <row r="44">
      <c r="A44" s="8" t="n"/>
      <c r="B44" s="7" t="n"/>
      <c r="C44" s="7" t="n"/>
      <c r="D44" s="9" t="n"/>
      <c r="E44" s="9" t="n"/>
      <c r="F44" s="19">
        <f>IF(AND(D44="",E44=""),"",SUM($D$13:D44)-SUM($E$13:E44))</f>
        <v/>
      </c>
      <c r="G44" s="7" t="n"/>
      <c r="H44" s="7" t="n"/>
    </row>
    <row r="45">
      <c r="A45" s="8" t="n"/>
      <c r="B45" s="7" t="n"/>
      <c r="C45" s="7" t="n"/>
      <c r="D45" s="9" t="n"/>
      <c r="E45" s="9" t="n"/>
      <c r="F45" s="19">
        <f>IF(AND(D45="",E45=""),"",SUM($D$13:D45)-SUM($E$13:E45))</f>
        <v/>
      </c>
      <c r="G45" s="7" t="n"/>
      <c r="H45" s="7" t="n"/>
    </row>
    <row r="46">
      <c r="A46" s="8" t="n"/>
      <c r="B46" s="7" t="n"/>
      <c r="C46" s="7" t="n"/>
      <c r="D46" s="9" t="n"/>
      <c r="E46" s="9" t="n"/>
      <c r="F46" s="19">
        <f>IF(AND(D46="",E46=""),"",SUM($D$13:D46)-SUM($E$13:E46))</f>
        <v/>
      </c>
      <c r="G46" s="7" t="n"/>
      <c r="H46" s="7" t="n"/>
    </row>
    <row r="47">
      <c r="A47" s="8" t="n"/>
      <c r="B47" s="7" t="n"/>
      <c r="C47" s="7" t="n"/>
      <c r="D47" s="9" t="n"/>
      <c r="E47" s="9" t="n"/>
      <c r="F47" s="19">
        <f>IF(AND(D47="",E47=""),"",SUM($D$13:D47)-SUM($E$13:E47))</f>
        <v/>
      </c>
      <c r="G47" s="7" t="n"/>
      <c r="H47" s="7" t="n"/>
    </row>
    <row r="48">
      <c r="A48" s="8" t="n"/>
      <c r="B48" s="7" t="n"/>
      <c r="C48" s="7" t="n"/>
      <c r="D48" s="9" t="n"/>
      <c r="E48" s="9" t="n"/>
      <c r="F48" s="19">
        <f>IF(AND(D48="",E48=""),"",SUM($D$13:D48)-SUM($E$13:E48))</f>
        <v/>
      </c>
      <c r="G48" s="7" t="n"/>
      <c r="H48" s="7" t="n"/>
    </row>
    <row r="49">
      <c r="A49" s="8" t="n"/>
      <c r="B49" s="7" t="n"/>
      <c r="C49" s="7" t="n"/>
      <c r="D49" s="9" t="n"/>
      <c r="E49" s="9" t="n"/>
      <c r="F49" s="19">
        <f>IF(AND(D49="",E49=""),"",SUM($D$13:D49)-SUM($E$13:E49))</f>
        <v/>
      </c>
      <c r="G49" s="7" t="n"/>
      <c r="H49" s="7" t="n"/>
    </row>
    <row r="50">
      <c r="A50" s="8" t="n"/>
      <c r="B50" s="7" t="n"/>
      <c r="C50" s="7" t="n"/>
      <c r="D50" s="9" t="n"/>
      <c r="E50" s="9" t="n"/>
      <c r="F50" s="19">
        <f>IF(AND(D50="",E50=""),"",SUM($D$13:D50)-SUM($E$13:E50))</f>
        <v/>
      </c>
      <c r="G50" s="7" t="n"/>
      <c r="H50" s="7" t="n"/>
    </row>
    <row r="51">
      <c r="A51" s="8" t="n"/>
      <c r="B51" s="7" t="n"/>
      <c r="C51" s="7" t="n"/>
      <c r="D51" s="9" t="n"/>
      <c r="E51" s="9" t="n"/>
      <c r="F51" s="19">
        <f>IF(AND(D51="",E51=""),"",SUM($D$13:D51)-SUM($E$13:E51))</f>
        <v/>
      </c>
      <c r="G51" s="7" t="n"/>
      <c r="H51" s="7" t="n"/>
    </row>
    <row r="52">
      <c r="A52" s="8" t="n"/>
      <c r="B52" s="7" t="n"/>
      <c r="C52" s="7" t="n"/>
      <c r="D52" s="9" t="n"/>
      <c r="E52" s="9" t="n"/>
      <c r="F52" s="19">
        <f>IF(AND(D52="",E52=""),"",SUM($D$13:D52)-SUM($E$13:E52))</f>
        <v/>
      </c>
      <c r="G52" s="7" t="n"/>
      <c r="H52" s="7" t="n"/>
    </row>
    <row r="53">
      <c r="A53" s="8" t="n"/>
      <c r="B53" s="7" t="n"/>
      <c r="C53" s="7" t="n"/>
      <c r="D53" s="9" t="n"/>
      <c r="E53" s="9" t="n"/>
      <c r="F53" s="19">
        <f>IF(AND(D53="",E53=""),"",SUM($D$13:D53)-SUM($E$13:E53))</f>
        <v/>
      </c>
      <c r="G53" s="7" t="n"/>
      <c r="H53" s="7" t="n"/>
    </row>
    <row r="54">
      <c r="A54" s="8" t="n"/>
      <c r="B54" s="7" t="n"/>
      <c r="C54" s="7" t="n"/>
      <c r="D54" s="9" t="n"/>
      <c r="E54" s="9" t="n"/>
      <c r="F54" s="19">
        <f>IF(AND(D54="",E54=""),"",SUM($D$13:D54)-SUM($E$13:E54))</f>
        <v/>
      </c>
      <c r="G54" s="7" t="n"/>
      <c r="H54" s="7" t="n"/>
    </row>
    <row r="55">
      <c r="A55" s="8" t="n"/>
      <c r="B55" s="7" t="n"/>
      <c r="C55" s="7" t="n"/>
      <c r="D55" s="9" t="n"/>
      <c r="E55" s="9" t="n"/>
      <c r="F55" s="19">
        <f>IF(AND(D55="",E55=""),"",SUM($D$13:D55)-SUM($E$13:E55))</f>
        <v/>
      </c>
      <c r="G55" s="7" t="n"/>
      <c r="H55" s="7" t="n"/>
    </row>
    <row r="56">
      <c r="A56" s="8" t="n"/>
      <c r="B56" s="7" t="n"/>
      <c r="C56" s="7" t="n"/>
      <c r="D56" s="9" t="n"/>
      <c r="E56" s="9" t="n"/>
      <c r="F56" s="19">
        <f>IF(AND(D56="",E56=""),"",SUM($D$13:D56)-SUM($E$13:E56))</f>
        <v/>
      </c>
      <c r="G56" s="7" t="n"/>
      <c r="H56" s="7" t="n"/>
    </row>
    <row r="57">
      <c r="A57" s="8" t="n"/>
      <c r="B57" s="7" t="n"/>
      <c r="C57" s="7" t="n"/>
      <c r="D57" s="9" t="n"/>
      <c r="E57" s="9" t="n"/>
      <c r="F57" s="19">
        <f>IF(AND(D57="",E57=""),"",SUM($D$13:D57)-SUM($E$13:E57))</f>
        <v/>
      </c>
      <c r="G57" s="7" t="n"/>
      <c r="H57" s="7" t="n"/>
    </row>
    <row r="58">
      <c r="A58" s="8" t="n"/>
      <c r="B58" s="7" t="n"/>
      <c r="C58" s="7" t="n"/>
      <c r="D58" s="9" t="n"/>
      <c r="E58" s="9" t="n"/>
      <c r="F58" s="19">
        <f>IF(AND(D58="",E58=""),"",SUM($D$13:D58)-SUM($E$13:E58))</f>
        <v/>
      </c>
      <c r="G58" s="7" t="n"/>
      <c r="H58" s="7" t="n"/>
    </row>
    <row r="59">
      <c r="A59" s="8" t="n"/>
      <c r="B59" s="7" t="n"/>
      <c r="C59" s="7" t="n"/>
      <c r="D59" s="9" t="n"/>
      <c r="E59" s="9" t="n"/>
      <c r="F59" s="19">
        <f>IF(AND(D59="",E59=""),"",SUM($D$13:D59)-SUM($E$13:E59))</f>
        <v/>
      </c>
      <c r="G59" s="7" t="n"/>
      <c r="H59" s="7" t="n"/>
    </row>
    <row r="60">
      <c r="A60" s="8" t="n"/>
      <c r="B60" s="7" t="n"/>
      <c r="C60" s="7" t="n"/>
      <c r="D60" s="9" t="n"/>
      <c r="E60" s="9" t="n"/>
      <c r="F60" s="19">
        <f>IF(AND(D60="",E60=""),"",SUM($D$13:D60)-SUM($E$13:E60))</f>
        <v/>
      </c>
      <c r="G60" s="7" t="n"/>
      <c r="H60" s="7" t="n"/>
    </row>
    <row r="61">
      <c r="A61" s="8" t="n"/>
      <c r="B61" s="7" t="n"/>
      <c r="C61" s="7" t="n"/>
      <c r="D61" s="9" t="n"/>
      <c r="E61" s="9" t="n"/>
      <c r="F61" s="19">
        <f>IF(AND(D61="",E61=""),"",SUM($D$13:D61)-SUM($E$13:E61))</f>
        <v/>
      </c>
      <c r="G61" s="7" t="n"/>
      <c r="H61" s="7" t="n"/>
    </row>
    <row r="62">
      <c r="A62" s="8" t="n"/>
      <c r="B62" s="7" t="n"/>
      <c r="C62" s="7" t="n"/>
      <c r="D62" s="9" t="n"/>
      <c r="E62" s="9" t="n"/>
      <c r="F62" s="19">
        <f>IF(AND(D62="",E62=""),"",SUM($D$13:D62)-SUM($E$13:E62))</f>
        <v/>
      </c>
      <c r="G62" s="7" t="n"/>
      <c r="H62" s="7" t="n"/>
    </row>
    <row r="63">
      <c r="A63" s="8" t="n"/>
      <c r="B63" s="7" t="n"/>
      <c r="C63" s="7" t="n"/>
      <c r="D63" s="9" t="n"/>
      <c r="E63" s="9" t="n"/>
      <c r="F63" s="19">
        <f>IF(AND(D63="",E63=""),"",SUM($D$13:D63)-SUM($E$13:E63))</f>
        <v/>
      </c>
      <c r="G63" s="7" t="n"/>
      <c r="H63" s="7" t="n"/>
    </row>
    <row r="64">
      <c r="A64" s="8" t="n"/>
      <c r="B64" s="7" t="n"/>
      <c r="C64" s="7" t="n"/>
      <c r="D64" s="9" t="n"/>
      <c r="E64" s="9" t="n"/>
      <c r="F64" s="19">
        <f>IF(AND(D64="",E64=""),"",SUM($D$13:D64)-SUM($E$13:E64))</f>
        <v/>
      </c>
      <c r="G64" s="7" t="n"/>
      <c r="H64" s="7" t="n"/>
    </row>
    <row r="65">
      <c r="A65" s="8" t="n"/>
      <c r="B65" s="7" t="n"/>
      <c r="C65" s="7" t="n"/>
      <c r="D65" s="9" t="n"/>
      <c r="E65" s="9" t="n"/>
      <c r="F65" s="19">
        <f>IF(AND(D65="",E65=""),"",SUM($D$13:D65)-SUM($E$13:E65))</f>
        <v/>
      </c>
      <c r="G65" s="7" t="n"/>
      <c r="H65" s="7" t="n"/>
    </row>
    <row r="66">
      <c r="A66" s="8" t="n"/>
      <c r="B66" s="7" t="n"/>
      <c r="C66" s="7" t="n"/>
      <c r="D66" s="9" t="n"/>
      <c r="E66" s="9" t="n"/>
      <c r="F66" s="19">
        <f>IF(AND(D66="",E66=""),"",SUM($D$13:D66)-SUM($E$13:E66))</f>
        <v/>
      </c>
      <c r="G66" s="7" t="n"/>
      <c r="H66" s="7" t="n"/>
    </row>
    <row r="67">
      <c r="A67" s="8" t="n"/>
      <c r="B67" s="7" t="n"/>
      <c r="C67" s="7" t="n"/>
      <c r="D67" s="9" t="n"/>
      <c r="E67" s="9" t="n"/>
      <c r="F67" s="19">
        <f>IF(AND(D67="",E67=""),"",SUM($D$13:D67)-SUM($E$13:E67))</f>
        <v/>
      </c>
      <c r="G67" s="7" t="n"/>
      <c r="H67" s="7" t="n"/>
    </row>
    <row r="68">
      <c r="A68" s="8" t="n"/>
      <c r="B68" s="7" t="n"/>
      <c r="C68" s="7" t="n"/>
      <c r="D68" s="9" t="n"/>
      <c r="E68" s="9" t="n"/>
      <c r="F68" s="19">
        <f>IF(AND(D68="",E68=""),"",SUM($D$13:D68)-SUM($E$13:E68))</f>
        <v/>
      </c>
      <c r="G68" s="7" t="n"/>
      <c r="H68" s="7" t="n"/>
    </row>
    <row r="69">
      <c r="A69" s="8" t="n"/>
      <c r="B69" s="7" t="n"/>
      <c r="C69" s="7" t="n"/>
      <c r="D69" s="9" t="n"/>
      <c r="E69" s="9" t="n"/>
      <c r="F69" s="19">
        <f>IF(AND(D69="",E69=""),"",SUM($D$13:D69)-SUM($E$13:E69))</f>
        <v/>
      </c>
      <c r="G69" s="7" t="n"/>
      <c r="H69" s="7" t="n"/>
    </row>
    <row r="70">
      <c r="A70" s="8" t="n"/>
      <c r="B70" s="7" t="n"/>
      <c r="C70" s="7" t="n"/>
      <c r="D70" s="9" t="n"/>
      <c r="E70" s="9" t="n"/>
      <c r="F70" s="19">
        <f>IF(AND(D70="",E70=""),"",SUM($D$13:D70)-SUM($E$13:E70))</f>
        <v/>
      </c>
      <c r="G70" s="7" t="n"/>
      <c r="H70" s="7" t="n"/>
    </row>
    <row r="71">
      <c r="A71" s="8" t="n"/>
      <c r="B71" s="7" t="n"/>
      <c r="C71" s="7" t="n"/>
      <c r="D71" s="9" t="n"/>
      <c r="E71" s="9" t="n"/>
      <c r="F71" s="19">
        <f>IF(AND(D71="",E71=""),"",SUM($D$13:D71)-SUM($E$13:E71))</f>
        <v/>
      </c>
      <c r="G71" s="7" t="n"/>
      <c r="H71" s="7" t="n"/>
    </row>
    <row r="72">
      <c r="A72" s="8" t="n"/>
      <c r="B72" s="7" t="n"/>
      <c r="C72" s="7" t="n"/>
      <c r="D72" s="9" t="n"/>
      <c r="E72" s="9" t="n"/>
      <c r="F72" s="19">
        <f>IF(AND(D72="",E72=""),"",SUM($D$13:D72)-SUM($E$13:E72))</f>
        <v/>
      </c>
      <c r="G72" s="7" t="n"/>
      <c r="H72" s="7" t="n"/>
    </row>
    <row r="73">
      <c r="A73" s="8" t="n"/>
      <c r="B73" s="7" t="n"/>
      <c r="C73" s="7" t="n"/>
      <c r="D73" s="9" t="n"/>
      <c r="E73" s="9" t="n"/>
      <c r="F73" s="19">
        <f>IF(AND(D73="",E73=""),"",SUM($D$13:D73)-SUM($E$13:E73))</f>
        <v/>
      </c>
      <c r="G73" s="7" t="n"/>
      <c r="H73" s="7" t="n"/>
    </row>
    <row r="74">
      <c r="A74" s="8" t="n"/>
      <c r="B74" s="7" t="n"/>
      <c r="C74" s="7" t="n"/>
      <c r="D74" s="9" t="n"/>
      <c r="E74" s="9" t="n"/>
      <c r="F74" s="19">
        <f>IF(AND(D74="",E74=""),"",SUM($D$13:D74)-SUM($E$13:E74))</f>
        <v/>
      </c>
      <c r="G74" s="7" t="n"/>
      <c r="H74" s="7" t="n"/>
    </row>
    <row r="75">
      <c r="A75" s="8" t="n"/>
      <c r="B75" s="7" t="n"/>
      <c r="C75" s="7" t="n"/>
      <c r="D75" s="9" t="n"/>
      <c r="E75" s="9" t="n"/>
      <c r="F75" s="19">
        <f>IF(AND(D75="",E75=""),"",SUM($D$13:D75)-SUM($E$13:E75))</f>
        <v/>
      </c>
      <c r="G75" s="7" t="n"/>
      <c r="H75" s="7" t="n"/>
    </row>
    <row r="76">
      <c r="A76" s="8" t="n"/>
      <c r="B76" s="7" t="n"/>
      <c r="C76" s="7" t="n"/>
      <c r="D76" s="9" t="n"/>
      <c r="E76" s="9" t="n"/>
      <c r="F76" s="19">
        <f>IF(AND(D76="",E76=""),"",SUM($D$13:D76)-SUM($E$13:E76))</f>
        <v/>
      </c>
      <c r="G76" s="7" t="n"/>
      <c r="H76" s="7" t="n"/>
    </row>
    <row r="77">
      <c r="A77" s="8" t="n"/>
      <c r="B77" s="7" t="n"/>
      <c r="C77" s="7" t="n"/>
      <c r="D77" s="9" t="n"/>
      <c r="E77" s="9" t="n"/>
      <c r="F77" s="19">
        <f>IF(AND(D77="",E77=""),"",SUM($D$13:D77)-SUM($E$13:E77))</f>
        <v/>
      </c>
      <c r="G77" s="7" t="n"/>
      <c r="H77" s="7" t="n"/>
    </row>
    <row r="78">
      <c r="A78" s="8" t="n"/>
      <c r="B78" s="7" t="n"/>
      <c r="C78" s="7" t="n"/>
      <c r="D78" s="9" t="n"/>
      <c r="E78" s="9" t="n"/>
      <c r="F78" s="19">
        <f>IF(AND(D78="",E78=""),"",SUM($D$13:D78)-SUM($E$13:E78))</f>
        <v/>
      </c>
      <c r="G78" s="7" t="n"/>
      <c r="H78" s="7" t="n"/>
    </row>
    <row r="79">
      <c r="A79" s="8" t="n"/>
      <c r="B79" s="7" t="n"/>
      <c r="C79" s="7" t="n"/>
      <c r="D79" s="9" t="n"/>
      <c r="E79" s="9" t="n"/>
      <c r="F79" s="19">
        <f>IF(AND(D79="",E79=""),"",SUM($D$13:D79)-SUM($E$13:E79))</f>
        <v/>
      </c>
      <c r="G79" s="7" t="n"/>
      <c r="H79" s="7" t="n"/>
    </row>
    <row r="80">
      <c r="A80" s="8" t="n"/>
      <c r="B80" s="7" t="n"/>
      <c r="C80" s="7" t="n"/>
      <c r="D80" s="9" t="n"/>
      <c r="E80" s="9" t="n"/>
      <c r="F80" s="19">
        <f>IF(AND(D80="",E80=""),"",SUM($D$13:D80)-SUM($E$13:E80))</f>
        <v/>
      </c>
      <c r="G80" s="7" t="n"/>
      <c r="H80" s="7" t="n"/>
    </row>
    <row r="81">
      <c r="A81" s="8" t="n"/>
      <c r="B81" s="7" t="n"/>
      <c r="C81" s="7" t="n"/>
      <c r="D81" s="9" t="n"/>
      <c r="E81" s="9" t="n"/>
      <c r="F81" s="19">
        <f>IF(AND(D81="",E81=""),"",SUM($D$13:D81)-SUM($E$13:E81))</f>
        <v/>
      </c>
      <c r="G81" s="7" t="n"/>
      <c r="H81" s="7" t="n"/>
    </row>
    <row r="82">
      <c r="A82" s="8" t="n"/>
      <c r="B82" s="7" t="n"/>
      <c r="C82" s="7" t="n"/>
      <c r="D82" s="9" t="n"/>
      <c r="E82" s="9" t="n"/>
      <c r="F82" s="19">
        <f>IF(AND(D82="",E82=""),"",SUM($D$13:D82)-SUM($E$13:E82))</f>
        <v/>
      </c>
      <c r="G82" s="7" t="n"/>
      <c r="H82" s="7" t="n"/>
    </row>
    <row r="83">
      <c r="A83" s="8" t="n"/>
      <c r="B83" s="7" t="n"/>
      <c r="C83" s="7" t="n"/>
      <c r="D83" s="9" t="n"/>
      <c r="E83" s="9" t="n"/>
      <c r="F83" s="19">
        <f>IF(AND(D83="",E83=""),"",SUM($D$13:D83)-SUM($E$13:E83))</f>
        <v/>
      </c>
      <c r="G83" s="7" t="n"/>
      <c r="H83" s="7" t="n"/>
    </row>
    <row r="84">
      <c r="A84" s="8" t="n"/>
      <c r="B84" s="7" t="n"/>
      <c r="C84" s="7" t="n"/>
      <c r="D84" s="9" t="n"/>
      <c r="E84" s="9" t="n"/>
      <c r="F84" s="19">
        <f>IF(AND(D84="",E84=""),"",SUM($D$13:D84)-SUM($E$13:E84))</f>
        <v/>
      </c>
      <c r="G84" s="7" t="n"/>
      <c r="H84" s="7" t="n"/>
    </row>
    <row r="85">
      <c r="A85" s="8" t="n"/>
      <c r="B85" s="7" t="n"/>
      <c r="C85" s="7" t="n"/>
      <c r="D85" s="9" t="n"/>
      <c r="E85" s="9" t="n"/>
      <c r="F85" s="19">
        <f>IF(AND(D85="",E85=""),"",SUM($D$13:D85)-SUM($E$13:E85))</f>
        <v/>
      </c>
      <c r="G85" s="7" t="n"/>
      <c r="H85" s="7" t="n"/>
    </row>
    <row r="86">
      <c r="A86" s="8" t="n"/>
      <c r="B86" s="7" t="n"/>
      <c r="C86" s="7" t="n"/>
      <c r="D86" s="9" t="n"/>
      <c r="E86" s="9" t="n"/>
      <c r="F86" s="19">
        <f>IF(AND(D86="",E86=""),"",SUM($D$13:D86)-SUM($E$13:E86))</f>
        <v/>
      </c>
      <c r="G86" s="7" t="n"/>
      <c r="H86" s="7" t="n"/>
    </row>
    <row r="87">
      <c r="A87" s="8" t="n"/>
      <c r="B87" s="7" t="n"/>
      <c r="C87" s="7" t="n"/>
      <c r="D87" s="9" t="n"/>
      <c r="E87" s="9" t="n"/>
      <c r="F87" s="19">
        <f>IF(AND(D87="",E87=""),"",SUM($D$13:D87)-SUM($E$13:E87))</f>
        <v/>
      </c>
      <c r="G87" s="7" t="n"/>
      <c r="H87" s="7" t="n"/>
    </row>
    <row r="88">
      <c r="A88" s="8" t="n"/>
      <c r="B88" s="7" t="n"/>
      <c r="C88" s="7" t="n"/>
      <c r="D88" s="9" t="n"/>
      <c r="E88" s="9" t="n"/>
      <c r="F88" s="19">
        <f>IF(AND(D88="",E88=""),"",SUM($D$13:D88)-SUM($E$13:E88))</f>
        <v/>
      </c>
      <c r="G88" s="7" t="n"/>
      <c r="H88" s="7" t="n"/>
    </row>
    <row r="89">
      <c r="A89" s="8" t="n"/>
      <c r="B89" s="7" t="n"/>
      <c r="C89" s="7" t="n"/>
      <c r="D89" s="9" t="n"/>
      <c r="E89" s="9" t="n"/>
      <c r="F89" s="19">
        <f>IF(AND(D89="",E89=""),"",SUM($D$13:D89)-SUM($E$13:E89))</f>
        <v/>
      </c>
      <c r="G89" s="7" t="n"/>
      <c r="H89" s="7" t="n"/>
    </row>
    <row r="90">
      <c r="A90" s="8" t="n"/>
      <c r="B90" s="7" t="n"/>
      <c r="C90" s="7" t="n"/>
      <c r="D90" s="9" t="n"/>
      <c r="E90" s="9" t="n"/>
      <c r="F90" s="19">
        <f>IF(AND(D90="",E90=""),"",SUM($D$13:D90)-SUM($E$13:E90))</f>
        <v/>
      </c>
      <c r="G90" s="7" t="n"/>
      <c r="H90" s="7" t="n"/>
    </row>
    <row r="91">
      <c r="A91" s="8" t="n"/>
      <c r="B91" s="7" t="n"/>
      <c r="C91" s="7" t="n"/>
      <c r="D91" s="9" t="n"/>
      <c r="E91" s="9" t="n"/>
      <c r="F91" s="19">
        <f>IF(AND(D91="",E91=""),"",SUM($D$13:D91)-SUM($E$13:E91))</f>
        <v/>
      </c>
      <c r="G91" s="7" t="n"/>
      <c r="H91" s="7" t="n"/>
    </row>
    <row r="92">
      <c r="A92" s="8" t="n"/>
      <c r="B92" s="7" t="n"/>
      <c r="C92" s="7" t="n"/>
      <c r="D92" s="9" t="n"/>
      <c r="E92" s="9" t="n"/>
      <c r="F92" s="19">
        <f>IF(AND(D92="",E92=""),"",SUM($D$13:D92)-SUM($E$13:E92))</f>
        <v/>
      </c>
      <c r="G92" s="7" t="n"/>
      <c r="H92" s="7" t="n"/>
    </row>
    <row r="93">
      <c r="A93" s="8" t="n"/>
      <c r="B93" s="7" t="n"/>
      <c r="C93" s="7" t="n"/>
      <c r="D93" s="9" t="n"/>
      <c r="E93" s="9" t="n"/>
      <c r="F93" s="19">
        <f>IF(AND(D93="",E93=""),"",SUM($D$13:D93)-SUM($E$13:E93))</f>
        <v/>
      </c>
      <c r="G93" s="7" t="n"/>
      <c r="H93" s="7" t="n"/>
    </row>
    <row r="94">
      <c r="A94" s="8" t="n"/>
      <c r="B94" s="7" t="n"/>
      <c r="C94" s="7" t="n"/>
      <c r="D94" s="9" t="n"/>
      <c r="E94" s="9" t="n"/>
      <c r="F94" s="19">
        <f>IF(AND(D94="",E94=""),"",SUM($D$13:D94)-SUM($E$13:E94))</f>
        <v/>
      </c>
      <c r="G94" s="7" t="n"/>
      <c r="H94" s="7" t="n"/>
    </row>
    <row r="95">
      <c r="A95" s="8" t="n"/>
      <c r="B95" s="7" t="n"/>
      <c r="C95" s="7" t="n"/>
      <c r="D95" s="9" t="n"/>
      <c r="E95" s="9" t="n"/>
      <c r="F95" s="19">
        <f>IF(AND(D95="",E95=""),"",SUM($D$13:D95)-SUM($E$13:E95))</f>
        <v/>
      </c>
      <c r="G95" s="7" t="n"/>
      <c r="H95" s="7" t="n"/>
    </row>
    <row r="96">
      <c r="A96" s="8" t="n"/>
      <c r="B96" s="7" t="n"/>
      <c r="C96" s="7" t="n"/>
      <c r="D96" s="9" t="n"/>
      <c r="E96" s="9" t="n"/>
      <c r="F96" s="19">
        <f>IF(AND(D96="",E96=""),"",SUM($D$13:D96)-SUM($E$13:E96))</f>
        <v/>
      </c>
      <c r="G96" s="7" t="n"/>
      <c r="H96" s="7" t="n"/>
    </row>
    <row r="97">
      <c r="A97" s="8" t="n"/>
      <c r="B97" s="7" t="n"/>
      <c r="C97" s="7" t="n"/>
      <c r="D97" s="9" t="n"/>
      <c r="E97" s="9" t="n"/>
      <c r="F97" s="19">
        <f>IF(AND(D97="",E97=""),"",SUM($D$13:D97)-SUM($E$13:E97))</f>
        <v/>
      </c>
      <c r="G97" s="7" t="n"/>
      <c r="H97" s="7" t="n"/>
    </row>
    <row r="98">
      <c r="A98" s="8" t="n"/>
      <c r="B98" s="7" t="n"/>
      <c r="C98" s="7" t="n"/>
      <c r="D98" s="9" t="n"/>
      <c r="E98" s="9" t="n"/>
      <c r="F98" s="19">
        <f>IF(AND(D98="",E98=""),"",SUM($D$13:D98)-SUM($E$13:E98))</f>
        <v/>
      </c>
      <c r="G98" s="7" t="n"/>
      <c r="H98" s="7" t="n"/>
    </row>
    <row r="99">
      <c r="A99" s="8" t="n"/>
      <c r="B99" s="7" t="n"/>
      <c r="C99" s="7" t="n"/>
      <c r="D99" s="9" t="n"/>
      <c r="E99" s="9" t="n"/>
      <c r="F99" s="19">
        <f>IF(AND(D99="",E99=""),"",SUM($D$13:D99)-SUM($E$13:E99))</f>
        <v/>
      </c>
      <c r="G99" s="7" t="n"/>
      <c r="H99" s="7" t="n"/>
    </row>
    <row r="100">
      <c r="A100" s="8" t="n"/>
      <c r="B100" s="7" t="n"/>
      <c r="C100" s="7" t="n"/>
      <c r="D100" s="9" t="n"/>
      <c r="E100" s="9" t="n"/>
      <c r="F100" s="19">
        <f>IF(AND(D100="",E100=""),"",SUM($D$13:D100)-SUM($E$13:E100))</f>
        <v/>
      </c>
      <c r="G100" s="7" t="n"/>
      <c r="H100" s="7" t="n"/>
    </row>
    <row r="101">
      <c r="A101" s="8" t="n"/>
      <c r="B101" s="7" t="n"/>
      <c r="C101" s="7" t="n"/>
      <c r="D101" s="9" t="n"/>
      <c r="E101" s="9" t="n"/>
      <c r="F101" s="19">
        <f>IF(AND(D101="",E101=""),"",SUM($D$13:D101)-SUM($E$13:E101))</f>
        <v/>
      </c>
      <c r="G101" s="7" t="n"/>
      <c r="H101" s="7" t="n"/>
    </row>
    <row r="102">
      <c r="A102" s="8" t="n"/>
      <c r="B102" s="7" t="n"/>
      <c r="C102" s="7" t="n"/>
      <c r="D102" s="9" t="n"/>
      <c r="E102" s="9" t="n"/>
      <c r="F102" s="19">
        <f>IF(AND(D102="",E102=""),"",SUM($D$13:D102)-SUM($E$13:E102))</f>
        <v/>
      </c>
      <c r="G102" s="7" t="n"/>
      <c r="H102" s="7" t="n"/>
    </row>
    <row r="103">
      <c r="A103" s="8" t="n"/>
      <c r="B103" s="7" t="n"/>
      <c r="C103" s="7" t="n"/>
      <c r="D103" s="9" t="n"/>
      <c r="E103" s="9" t="n"/>
      <c r="F103" s="19">
        <f>IF(AND(D103="",E103=""),"",SUM($D$13:D103)-SUM($E$13:E103))</f>
        <v/>
      </c>
      <c r="G103" s="7" t="n"/>
      <c r="H103" s="7" t="n"/>
    </row>
    <row r="104">
      <c r="A104" s="8" t="n"/>
      <c r="B104" s="7" t="n"/>
      <c r="C104" s="7" t="n"/>
      <c r="D104" s="9" t="n"/>
      <c r="E104" s="9" t="n"/>
      <c r="F104" s="19">
        <f>IF(AND(D104="",E104=""),"",SUM($D$13:D104)-SUM($E$13:E104))</f>
        <v/>
      </c>
      <c r="G104" s="7" t="n"/>
      <c r="H104" s="7" t="n"/>
    </row>
    <row r="105">
      <c r="A105" s="8" t="n"/>
      <c r="B105" s="7" t="n"/>
      <c r="C105" s="7" t="n"/>
      <c r="D105" s="9" t="n"/>
      <c r="E105" s="9" t="n"/>
      <c r="F105" s="19">
        <f>IF(AND(D105="",E105=""),"",SUM($D$13:D105)-SUM($E$13:E105))</f>
        <v/>
      </c>
      <c r="G105" s="7" t="n"/>
      <c r="H105" s="7" t="n"/>
    </row>
    <row r="106">
      <c r="A106" s="8" t="n"/>
      <c r="B106" s="7" t="n"/>
      <c r="C106" s="7" t="n"/>
      <c r="D106" s="9" t="n"/>
      <c r="E106" s="9" t="n"/>
      <c r="F106" s="19">
        <f>IF(AND(D106="",E106=""),"",SUM($D$13:D106)-SUM($E$13:E106))</f>
        <v/>
      </c>
      <c r="G106" s="7" t="n"/>
      <c r="H106" s="7" t="n"/>
    </row>
    <row r="107">
      <c r="A107" s="8" t="n"/>
      <c r="B107" s="7" t="n"/>
      <c r="C107" s="7" t="n"/>
      <c r="D107" s="9" t="n"/>
      <c r="E107" s="9" t="n"/>
      <c r="F107" s="19">
        <f>IF(AND(D107="",E107=""),"",SUM($D$13:D107)-SUM($E$13:E107))</f>
        <v/>
      </c>
      <c r="G107" s="7" t="n"/>
      <c r="H107" s="7" t="n"/>
    </row>
    <row r="108">
      <c r="A108" s="8" t="n"/>
      <c r="B108" s="7" t="n"/>
      <c r="C108" s="7" t="n"/>
      <c r="D108" s="9" t="n"/>
      <c r="E108" s="9" t="n"/>
      <c r="F108" s="19">
        <f>IF(AND(D108="",E108=""),"",SUM($D$13:D108)-SUM($E$13:E108))</f>
        <v/>
      </c>
      <c r="G108" s="7" t="n"/>
      <c r="H108" s="7" t="n"/>
    </row>
    <row r="109">
      <c r="A109" s="8" t="n"/>
      <c r="B109" s="7" t="n"/>
      <c r="C109" s="7" t="n"/>
      <c r="D109" s="9" t="n"/>
      <c r="E109" s="9" t="n"/>
      <c r="F109" s="19">
        <f>IF(AND(D109="",E109=""),"",SUM($D$13:D109)-SUM($E$13:E109))</f>
        <v/>
      </c>
      <c r="G109" s="7" t="n"/>
      <c r="H109" s="7" t="n"/>
    </row>
    <row r="110">
      <c r="A110" s="8" t="n"/>
      <c r="B110" s="7" t="n"/>
      <c r="C110" s="7" t="n"/>
      <c r="D110" s="9" t="n"/>
      <c r="E110" s="9" t="n"/>
      <c r="F110" s="19">
        <f>IF(AND(D110="",E110=""),"",SUM($D$13:D110)-SUM($E$13:E110))</f>
        <v/>
      </c>
      <c r="G110" s="7" t="n"/>
      <c r="H110" s="7" t="n"/>
    </row>
    <row r="111">
      <c r="A111" s="8" t="n"/>
      <c r="B111" s="7" t="n"/>
      <c r="C111" s="7" t="n"/>
      <c r="D111" s="9" t="n"/>
      <c r="E111" s="9" t="n"/>
      <c r="F111" s="19">
        <f>IF(AND(D111="",E111=""),"",SUM($D$13:D111)-SUM($E$13:E111))</f>
        <v/>
      </c>
      <c r="G111" s="7" t="n"/>
      <c r="H111" s="7" t="n"/>
    </row>
    <row r="112">
      <c r="A112" s="8" t="n"/>
      <c r="B112" s="7" t="n"/>
      <c r="C112" s="7" t="n"/>
      <c r="D112" s="9" t="n"/>
      <c r="E112" s="9" t="n"/>
      <c r="F112" s="19">
        <f>IF(AND(D112="",E112=""),"",SUM($D$13:D112)-SUM($E$13:E112))</f>
        <v/>
      </c>
      <c r="G112" s="7" t="n"/>
      <c r="H112" s="7" t="n"/>
    </row>
    <row r="113">
      <c r="A113" s="8" t="n"/>
      <c r="B113" s="7" t="n"/>
      <c r="C113" s="7" t="n"/>
      <c r="D113" s="9" t="n"/>
      <c r="E113" s="9" t="n"/>
      <c r="F113" s="19">
        <f>IF(AND(D113="",E113=""),"",SUM($D$13:D113)-SUM($E$13:E113))</f>
        <v/>
      </c>
      <c r="G113" s="7" t="n"/>
      <c r="H113" s="7" t="n"/>
    </row>
    <row r="114">
      <c r="A114" s="8" t="n"/>
      <c r="B114" s="7" t="n"/>
      <c r="C114" s="7" t="n"/>
      <c r="D114" s="9" t="n"/>
      <c r="E114" s="9" t="n"/>
      <c r="F114" s="19">
        <f>IF(AND(D114="",E114=""),"",SUM($D$13:D114)-SUM($E$13:E114))</f>
        <v/>
      </c>
      <c r="G114" s="7" t="n"/>
      <c r="H114" s="7" t="n"/>
    </row>
    <row r="115">
      <c r="A115" s="8" t="n"/>
      <c r="B115" s="7" t="n"/>
      <c r="C115" s="7" t="n"/>
      <c r="D115" s="9" t="n"/>
      <c r="E115" s="9" t="n"/>
      <c r="F115" s="19">
        <f>IF(AND(D115="",E115=""),"",SUM($D$13:D115)-SUM($E$13:E115))</f>
        <v/>
      </c>
      <c r="G115" s="7" t="n"/>
      <c r="H115" s="7" t="n"/>
    </row>
    <row r="116">
      <c r="A116" s="8" t="n"/>
      <c r="B116" s="7" t="n"/>
      <c r="C116" s="7" t="n"/>
      <c r="D116" s="9" t="n"/>
      <c r="E116" s="9" t="n"/>
      <c r="F116" s="19">
        <f>IF(AND(D116="",E116=""),"",SUM($D$13:D116)-SUM($E$13:E116))</f>
        <v/>
      </c>
      <c r="G116" s="7" t="n"/>
      <c r="H116" s="7" t="n"/>
    </row>
    <row r="117">
      <c r="A117" s="8" t="n"/>
      <c r="B117" s="7" t="n"/>
      <c r="C117" s="7" t="n"/>
      <c r="D117" s="9" t="n"/>
      <c r="E117" s="9" t="n"/>
      <c r="F117" s="19">
        <f>IF(AND(D117="",E117=""),"",SUM($D$13:D117)-SUM($E$13:E117))</f>
        <v/>
      </c>
      <c r="G117" s="7" t="n"/>
      <c r="H117" s="7" t="n"/>
    </row>
    <row r="118">
      <c r="A118" s="8" t="n"/>
      <c r="B118" s="7" t="n"/>
      <c r="C118" s="7" t="n"/>
      <c r="D118" s="9" t="n"/>
      <c r="E118" s="9" t="n"/>
      <c r="F118" s="19">
        <f>IF(AND(D118="",E118=""),"",SUM($D$13:D118)-SUM($E$13:E118))</f>
        <v/>
      </c>
      <c r="G118" s="7" t="n"/>
      <c r="H118" s="7" t="n"/>
    </row>
    <row r="119">
      <c r="A119" s="8" t="n"/>
      <c r="B119" s="7" t="n"/>
      <c r="C119" s="7" t="n"/>
      <c r="D119" s="9" t="n"/>
      <c r="E119" s="9" t="n"/>
      <c r="F119" s="19">
        <f>IF(AND(D119="",E119=""),"",SUM($D$13:D119)-SUM($E$13:E119))</f>
        <v/>
      </c>
      <c r="G119" s="7" t="n"/>
      <c r="H119" s="7" t="n"/>
    </row>
    <row r="120">
      <c r="A120" s="8" t="n"/>
      <c r="B120" s="7" t="n"/>
      <c r="C120" s="7" t="n"/>
      <c r="D120" s="9" t="n"/>
      <c r="E120" s="9" t="n"/>
      <c r="F120" s="19">
        <f>IF(AND(D120="",E120=""),"",SUM($D$13:D120)-SUM($E$13:E120))</f>
        <v/>
      </c>
      <c r="G120" s="7" t="n"/>
      <c r="H120" s="7" t="n"/>
    </row>
    <row r="121">
      <c r="A121" s="8" t="n"/>
      <c r="B121" s="7" t="n"/>
      <c r="C121" s="7" t="n"/>
      <c r="D121" s="9" t="n"/>
      <c r="E121" s="9" t="n"/>
      <c r="F121" s="19">
        <f>IF(AND(D121="",E121=""),"",SUM($D$13:D121)-SUM($E$13:E121))</f>
        <v/>
      </c>
      <c r="G121" s="7" t="n"/>
      <c r="H121" s="7" t="n"/>
    </row>
    <row r="122">
      <c r="A122" s="8" t="n"/>
      <c r="B122" s="7" t="n"/>
      <c r="C122" s="7" t="n"/>
      <c r="D122" s="9" t="n"/>
      <c r="E122" s="9" t="n"/>
      <c r="F122" s="19">
        <f>IF(AND(D122="",E122=""),"",SUM($D$13:D122)-SUM($E$13:E122))</f>
        <v/>
      </c>
      <c r="G122" s="7" t="n"/>
      <c r="H122" s="7" t="n"/>
    </row>
    <row r="123">
      <c r="A123" s="8" t="n"/>
      <c r="B123" s="7" t="n"/>
      <c r="C123" s="7" t="n"/>
      <c r="D123" s="9" t="n"/>
      <c r="E123" s="9" t="n"/>
      <c r="F123" s="19">
        <f>IF(AND(D123="",E123=""),"",SUM($D$13:D123)-SUM($E$13:E123))</f>
        <v/>
      </c>
      <c r="G123" s="7" t="n"/>
      <c r="H123" s="7" t="n"/>
    </row>
    <row r="124">
      <c r="A124" s="8" t="n"/>
      <c r="B124" s="7" t="n"/>
      <c r="C124" s="7" t="n"/>
      <c r="D124" s="9" t="n"/>
      <c r="E124" s="9" t="n"/>
      <c r="F124" s="19">
        <f>IF(AND(D124="",E124=""),"",SUM($D$13:D124)-SUM($E$13:E124))</f>
        <v/>
      </c>
      <c r="G124" s="7" t="n"/>
      <c r="H124" s="7" t="n"/>
    </row>
    <row r="125">
      <c r="A125" s="8" t="n"/>
      <c r="B125" s="7" t="n"/>
      <c r="C125" s="7" t="n"/>
      <c r="D125" s="9" t="n"/>
      <c r="E125" s="9" t="n"/>
      <c r="F125" s="19">
        <f>IF(AND(D125="",E125=""),"",SUM($D$13:D125)-SUM($E$13:E125))</f>
        <v/>
      </c>
      <c r="G125" s="7" t="n"/>
      <c r="H125" s="7" t="n"/>
    </row>
    <row r="126">
      <c r="A126" s="8" t="n"/>
      <c r="B126" s="7" t="n"/>
      <c r="C126" s="7" t="n"/>
      <c r="D126" s="9" t="n"/>
      <c r="E126" s="9" t="n"/>
      <c r="F126" s="19">
        <f>IF(AND(D126="",E126=""),"",SUM($D$13:D126)-SUM($E$13:E126))</f>
        <v/>
      </c>
      <c r="G126" s="7" t="n"/>
      <c r="H126" s="7" t="n"/>
    </row>
    <row r="127">
      <c r="A127" s="8" t="n"/>
      <c r="B127" s="7" t="n"/>
      <c r="C127" s="7" t="n"/>
      <c r="D127" s="9" t="n"/>
      <c r="E127" s="9" t="n"/>
      <c r="F127" s="19">
        <f>IF(AND(D127="",E127=""),"",SUM($D$13:D127)-SUM($E$13:E127))</f>
        <v/>
      </c>
      <c r="G127" s="7" t="n"/>
      <c r="H127" s="7" t="n"/>
    </row>
    <row r="128">
      <c r="A128" s="8" t="n"/>
      <c r="B128" s="7" t="n"/>
      <c r="C128" s="7" t="n"/>
      <c r="D128" s="9" t="n"/>
      <c r="E128" s="9" t="n"/>
      <c r="F128" s="19">
        <f>IF(AND(D128="",E128=""),"",SUM($D$13:D128)-SUM($E$13:E128))</f>
        <v/>
      </c>
      <c r="G128" s="7" t="n"/>
      <c r="H128" s="7" t="n"/>
    </row>
    <row r="129">
      <c r="A129" s="8" t="n"/>
      <c r="B129" s="7" t="n"/>
      <c r="C129" s="7" t="n"/>
      <c r="D129" s="9" t="n"/>
      <c r="E129" s="9" t="n"/>
      <c r="F129" s="19">
        <f>IF(AND(D129="",E129=""),"",SUM($D$13:D129)-SUM($E$13:E129))</f>
        <v/>
      </c>
      <c r="G129" s="7" t="n"/>
      <c r="H129" s="7" t="n"/>
    </row>
    <row r="130">
      <c r="A130" s="8" t="n"/>
      <c r="B130" s="7" t="n"/>
      <c r="C130" s="7" t="n"/>
      <c r="D130" s="9" t="n"/>
      <c r="E130" s="9" t="n"/>
      <c r="F130" s="19">
        <f>IF(AND(D130="",E130=""),"",SUM($D$13:D130)-SUM($E$13:E130))</f>
        <v/>
      </c>
      <c r="G130" s="7" t="n"/>
      <c r="H130" s="7" t="n"/>
    </row>
    <row r="131">
      <c r="A131" s="8" t="n"/>
      <c r="B131" s="7" t="n"/>
      <c r="C131" s="7" t="n"/>
      <c r="D131" s="9" t="n"/>
      <c r="E131" s="9" t="n"/>
      <c r="F131" s="19">
        <f>IF(AND(D131="",E131=""),"",SUM($D$13:D131)-SUM($E$13:E131))</f>
        <v/>
      </c>
      <c r="G131" s="7" t="n"/>
      <c r="H131" s="7" t="n"/>
    </row>
    <row r="132">
      <c r="A132" s="8" t="n"/>
      <c r="B132" s="7" t="n"/>
      <c r="C132" s="7" t="n"/>
      <c r="D132" s="9" t="n"/>
      <c r="E132" s="9" t="n"/>
      <c r="F132" s="19">
        <f>IF(AND(D132="",E132=""),"",SUM($D$13:D132)-SUM($E$13:E132))</f>
        <v/>
      </c>
      <c r="G132" s="7" t="n"/>
      <c r="H132" s="7" t="n"/>
    </row>
    <row r="133">
      <c r="A133" s="8" t="n"/>
      <c r="B133" s="7" t="n"/>
      <c r="C133" s="7" t="n"/>
      <c r="D133" s="9" t="n"/>
      <c r="E133" s="9" t="n"/>
      <c r="F133" s="19">
        <f>IF(AND(D133="",E133=""),"",SUM($D$13:D133)-SUM($E$13:E133))</f>
        <v/>
      </c>
      <c r="G133" s="7" t="n"/>
      <c r="H133" s="7" t="n"/>
    </row>
    <row r="134">
      <c r="A134" s="8" t="n"/>
      <c r="B134" s="7" t="n"/>
      <c r="C134" s="7" t="n"/>
      <c r="D134" s="9" t="n"/>
      <c r="E134" s="9" t="n"/>
      <c r="F134" s="19">
        <f>IF(AND(D134="",E134=""),"",SUM($D$13:D134)-SUM($E$13:E134))</f>
        <v/>
      </c>
      <c r="G134" s="7" t="n"/>
      <c r="H134" s="7" t="n"/>
    </row>
    <row r="135">
      <c r="A135" s="8" t="n"/>
      <c r="B135" s="7" t="n"/>
      <c r="C135" s="7" t="n"/>
      <c r="D135" s="9" t="n"/>
      <c r="E135" s="9" t="n"/>
      <c r="F135" s="19">
        <f>IF(AND(D135="",E135=""),"",SUM($D$13:D135)-SUM($E$13:E135))</f>
        <v/>
      </c>
      <c r="G135" s="7" t="n"/>
      <c r="H135" s="7" t="n"/>
    </row>
    <row r="136">
      <c r="A136" s="8" t="n"/>
      <c r="B136" s="7" t="n"/>
      <c r="C136" s="7" t="n"/>
      <c r="D136" s="9" t="n"/>
      <c r="E136" s="9" t="n"/>
      <c r="F136" s="19">
        <f>IF(AND(D136="",E136=""),"",SUM($D$13:D136)-SUM($E$13:E136))</f>
        <v/>
      </c>
      <c r="G136" s="7" t="n"/>
      <c r="H136" s="7" t="n"/>
    </row>
    <row r="137">
      <c r="A137" s="8" t="n"/>
      <c r="B137" s="7" t="n"/>
      <c r="C137" s="7" t="n"/>
      <c r="D137" s="9" t="n"/>
      <c r="E137" s="9" t="n"/>
      <c r="F137" s="19">
        <f>IF(AND(D137="",E137=""),"",SUM($D$13:D137)-SUM($E$13:E137))</f>
        <v/>
      </c>
      <c r="G137" s="7" t="n"/>
      <c r="H137" s="7" t="n"/>
    </row>
    <row r="138">
      <c r="A138" s="8" t="n"/>
      <c r="B138" s="7" t="n"/>
      <c r="C138" s="7" t="n"/>
      <c r="D138" s="9" t="n"/>
      <c r="E138" s="9" t="n"/>
      <c r="F138" s="19">
        <f>IF(AND(D138="",E138=""),"",SUM($D$13:D138)-SUM($E$13:E138))</f>
        <v/>
      </c>
      <c r="G138" s="7" t="n"/>
      <c r="H138" s="7" t="n"/>
    </row>
    <row r="139">
      <c r="A139" s="8" t="n"/>
      <c r="B139" s="7" t="n"/>
      <c r="C139" s="7" t="n"/>
      <c r="D139" s="9" t="n"/>
      <c r="E139" s="9" t="n"/>
      <c r="F139" s="19">
        <f>IF(AND(D139="",E139=""),"",SUM($D$13:D139)-SUM($E$13:E139))</f>
        <v/>
      </c>
      <c r="G139" s="7" t="n"/>
      <c r="H139" s="7" t="n"/>
    </row>
    <row r="140">
      <c r="A140" s="8" t="n"/>
      <c r="B140" s="7" t="n"/>
      <c r="C140" s="7" t="n"/>
      <c r="D140" s="9" t="n"/>
      <c r="E140" s="9" t="n"/>
      <c r="F140" s="19">
        <f>IF(AND(D140="",E140=""),"",SUM($D$13:D140)-SUM($E$13:E140))</f>
        <v/>
      </c>
      <c r="G140" s="7" t="n"/>
      <c r="H140" s="7" t="n"/>
    </row>
    <row r="141">
      <c r="A141" s="8" t="n"/>
      <c r="B141" s="7" t="n"/>
      <c r="C141" s="7" t="n"/>
      <c r="D141" s="9" t="n"/>
      <c r="E141" s="9" t="n"/>
      <c r="F141" s="19">
        <f>IF(AND(D141="",E141=""),"",SUM($D$13:D141)-SUM($E$13:E141))</f>
        <v/>
      </c>
      <c r="G141" s="7" t="n"/>
      <c r="H141" s="7" t="n"/>
    </row>
    <row r="142">
      <c r="A142" s="8" t="n"/>
      <c r="B142" s="7" t="n"/>
      <c r="C142" s="7" t="n"/>
      <c r="D142" s="9" t="n"/>
      <c r="E142" s="9" t="n"/>
      <c r="F142" s="19">
        <f>IF(AND(D142="",E142=""),"",SUM($D$13:D142)-SUM($E$13:E142))</f>
        <v/>
      </c>
      <c r="G142" s="7" t="n"/>
      <c r="H142" s="7" t="n"/>
    </row>
    <row r="143">
      <c r="A143" s="8" t="n"/>
      <c r="B143" s="7" t="n"/>
      <c r="C143" s="7" t="n"/>
      <c r="D143" s="9" t="n"/>
      <c r="E143" s="9" t="n"/>
      <c r="F143" s="19">
        <f>IF(AND(D143="",E143=""),"",SUM($D$13:D143)-SUM($E$13:E143))</f>
        <v/>
      </c>
      <c r="G143" s="7" t="n"/>
      <c r="H143" s="7" t="n"/>
    </row>
    <row r="144">
      <c r="A144" s="8" t="n"/>
      <c r="B144" s="7" t="n"/>
      <c r="C144" s="7" t="n"/>
      <c r="D144" s="9" t="n"/>
      <c r="E144" s="9" t="n"/>
      <c r="F144" s="19">
        <f>IF(AND(D144="",E144=""),"",SUM($D$13:D144)-SUM($E$13:E144))</f>
        <v/>
      </c>
      <c r="G144" s="7" t="n"/>
      <c r="H144" s="7" t="n"/>
    </row>
    <row r="145">
      <c r="A145" s="8" t="n"/>
      <c r="B145" s="7" t="n"/>
      <c r="C145" s="7" t="n"/>
      <c r="D145" s="9" t="n"/>
      <c r="E145" s="9" t="n"/>
      <c r="F145" s="19">
        <f>IF(AND(D145="",E145=""),"",SUM($D$13:D145)-SUM($E$13:E145))</f>
        <v/>
      </c>
      <c r="G145" s="7" t="n"/>
      <c r="H145" s="7" t="n"/>
    </row>
    <row r="146">
      <c r="A146" s="8" t="n"/>
      <c r="B146" s="7" t="n"/>
      <c r="C146" s="7" t="n"/>
      <c r="D146" s="9" t="n"/>
      <c r="E146" s="9" t="n"/>
      <c r="F146" s="19">
        <f>IF(AND(D146="",E146=""),"",SUM($D$13:D146)-SUM($E$13:E146))</f>
        <v/>
      </c>
      <c r="G146" s="7" t="n"/>
      <c r="H146" s="7" t="n"/>
    </row>
    <row r="147">
      <c r="A147" s="8" t="n"/>
      <c r="B147" s="7" t="n"/>
      <c r="C147" s="7" t="n"/>
      <c r="D147" s="9" t="n"/>
      <c r="E147" s="9" t="n"/>
      <c r="F147" s="19">
        <f>IF(AND(D147="",E147=""),"",SUM($D$13:D147)-SUM($E$13:E147))</f>
        <v/>
      </c>
      <c r="G147" s="7" t="n"/>
      <c r="H147" s="7" t="n"/>
    </row>
    <row r="148">
      <c r="A148" s="8" t="n"/>
      <c r="B148" s="7" t="n"/>
      <c r="C148" s="7" t="n"/>
      <c r="D148" s="9" t="n"/>
      <c r="E148" s="9" t="n"/>
      <c r="F148" s="19">
        <f>IF(AND(D148="",E148=""),"",SUM($D$13:D148)-SUM($E$13:E148))</f>
        <v/>
      </c>
      <c r="G148" s="7" t="n"/>
      <c r="H148" s="7" t="n"/>
    </row>
    <row r="149">
      <c r="A149" s="8" t="n"/>
      <c r="B149" s="7" t="n"/>
      <c r="C149" s="7" t="n"/>
      <c r="D149" s="9" t="n"/>
      <c r="E149" s="9" t="n"/>
      <c r="F149" s="19">
        <f>IF(AND(D149="",E149=""),"",SUM($D$13:D149)-SUM($E$13:E149))</f>
        <v/>
      </c>
      <c r="G149" s="7" t="n"/>
      <c r="H149" s="7" t="n"/>
    </row>
    <row r="150">
      <c r="A150" s="8" t="n"/>
      <c r="B150" s="7" t="n"/>
      <c r="C150" s="7" t="n"/>
      <c r="D150" s="9" t="n"/>
      <c r="E150" s="9" t="n"/>
      <c r="F150" s="19">
        <f>IF(AND(D150="",E150=""),"",SUM($D$13:D150)-SUM($E$13:E150))</f>
        <v/>
      </c>
      <c r="G150" s="7" t="n"/>
      <c r="H150" s="7" t="n"/>
    </row>
    <row r="151">
      <c r="A151" s="8" t="n"/>
      <c r="B151" s="7" t="n"/>
      <c r="C151" s="7" t="n"/>
      <c r="D151" s="9" t="n"/>
      <c r="E151" s="9" t="n"/>
      <c r="F151" s="19">
        <f>IF(AND(D151="",E151=""),"",SUM($D$13:D151)-SUM($E$13:E151))</f>
        <v/>
      </c>
      <c r="G151" s="7" t="n"/>
      <c r="H151" s="7" t="n"/>
    </row>
    <row r="152">
      <c r="A152" s="8" t="n"/>
      <c r="B152" s="7" t="n"/>
      <c r="C152" s="7" t="n"/>
      <c r="D152" s="9" t="n"/>
      <c r="E152" s="9" t="n"/>
      <c r="F152" s="19">
        <f>IF(AND(D152="",E152=""),"",SUM($D$13:D152)-SUM($E$13:E152))</f>
        <v/>
      </c>
      <c r="G152" s="7" t="n"/>
      <c r="H152" s="7" t="n"/>
    </row>
    <row r="153">
      <c r="A153" s="8" t="n"/>
      <c r="B153" s="7" t="n"/>
      <c r="C153" s="7" t="n"/>
      <c r="D153" s="9" t="n"/>
      <c r="E153" s="9" t="n"/>
      <c r="F153" s="19">
        <f>IF(AND(D153="",E153=""),"",SUM($D$13:D153)-SUM($E$13:E153))</f>
        <v/>
      </c>
      <c r="G153" s="7" t="n"/>
      <c r="H153" s="7" t="n"/>
    </row>
    <row r="154">
      <c r="A154" s="8" t="n"/>
      <c r="B154" s="7" t="n"/>
      <c r="C154" s="7" t="n"/>
      <c r="D154" s="9" t="n"/>
      <c r="E154" s="9" t="n"/>
      <c r="F154" s="19">
        <f>IF(AND(D154="",E154=""),"",SUM($D$13:D154)-SUM($E$13:E154))</f>
        <v/>
      </c>
      <c r="G154" s="7" t="n"/>
      <c r="H154" s="7" t="n"/>
    </row>
    <row r="155">
      <c r="A155" s="8" t="n"/>
      <c r="B155" s="7" t="n"/>
      <c r="C155" s="7" t="n"/>
      <c r="D155" s="9" t="n"/>
      <c r="E155" s="9" t="n"/>
      <c r="F155" s="19">
        <f>IF(AND(D155="",E155=""),"",SUM($D$13:D155)-SUM($E$13:E155))</f>
        <v/>
      </c>
      <c r="G155" s="7" t="n"/>
      <c r="H155" s="7" t="n"/>
    </row>
    <row r="156">
      <c r="A156" s="8" t="n"/>
      <c r="B156" s="7" t="n"/>
      <c r="C156" s="7" t="n"/>
      <c r="D156" s="9" t="n"/>
      <c r="E156" s="9" t="n"/>
      <c r="F156" s="19">
        <f>IF(AND(D156="",E156=""),"",SUM($D$13:D156)-SUM($E$13:E156))</f>
        <v/>
      </c>
      <c r="G156" s="7" t="n"/>
      <c r="H156" s="7" t="n"/>
    </row>
    <row r="157">
      <c r="A157" s="8" t="n"/>
      <c r="B157" s="7" t="n"/>
      <c r="C157" s="7" t="n"/>
      <c r="D157" s="9" t="n"/>
      <c r="E157" s="9" t="n"/>
      <c r="F157" s="19">
        <f>IF(AND(D157="",E157=""),"",SUM($D$13:D157)-SUM($E$13:E157))</f>
        <v/>
      </c>
      <c r="G157" s="7" t="n"/>
      <c r="H157" s="7" t="n"/>
    </row>
    <row r="158">
      <c r="A158" s="8" t="n"/>
      <c r="B158" s="7" t="n"/>
      <c r="C158" s="7" t="n"/>
      <c r="D158" s="9" t="n"/>
      <c r="E158" s="9" t="n"/>
      <c r="F158" s="19">
        <f>IF(AND(D158="",E158=""),"",SUM($D$13:D158)-SUM($E$13:E158))</f>
        <v/>
      </c>
      <c r="G158" s="7" t="n"/>
      <c r="H158" s="7" t="n"/>
    </row>
    <row r="159">
      <c r="A159" s="8" t="n"/>
      <c r="B159" s="7" t="n"/>
      <c r="C159" s="7" t="n"/>
      <c r="D159" s="9" t="n"/>
      <c r="E159" s="9" t="n"/>
      <c r="F159" s="19">
        <f>IF(AND(D159="",E159=""),"",SUM($D$13:D159)-SUM($E$13:E159))</f>
        <v/>
      </c>
      <c r="G159" s="7" t="n"/>
      <c r="H159" s="7" t="n"/>
    </row>
    <row r="160">
      <c r="A160" s="8" t="n"/>
      <c r="B160" s="7" t="n"/>
      <c r="C160" s="7" t="n"/>
      <c r="D160" s="9" t="n"/>
      <c r="E160" s="9" t="n"/>
      <c r="F160" s="19">
        <f>IF(AND(D160="",E160=""),"",SUM($D$13:D160)-SUM($E$13:E160))</f>
        <v/>
      </c>
      <c r="G160" s="7" t="n"/>
      <c r="H160" s="7" t="n"/>
    </row>
    <row r="161">
      <c r="A161" s="8" t="n"/>
      <c r="B161" s="7" t="n"/>
      <c r="C161" s="7" t="n"/>
      <c r="D161" s="9" t="n"/>
      <c r="E161" s="9" t="n"/>
      <c r="F161" s="19">
        <f>IF(AND(D161="",E161=""),"",SUM($D$13:D161)-SUM($E$13:E161))</f>
        <v/>
      </c>
      <c r="G161" s="7" t="n"/>
      <c r="H161" s="7" t="n"/>
    </row>
    <row r="162">
      <c r="A162" s="8" t="n"/>
      <c r="B162" s="7" t="n"/>
      <c r="C162" s="7" t="n"/>
      <c r="D162" s="9" t="n"/>
      <c r="E162" s="9" t="n"/>
      <c r="F162" s="19">
        <f>IF(AND(D162="",E162=""),"",SUM($D$13:D162)-SUM($E$13:E162))</f>
        <v/>
      </c>
      <c r="G162" s="7" t="n"/>
      <c r="H162" s="7" t="n"/>
    </row>
    <row r="163">
      <c r="A163" s="8" t="n"/>
      <c r="B163" s="7" t="n"/>
      <c r="C163" s="7" t="n"/>
      <c r="D163" s="9" t="n"/>
      <c r="E163" s="9" t="n"/>
      <c r="F163" s="19">
        <f>IF(AND(D163="",E163=""),"",SUM($D$13:D163)-SUM($E$13:E163))</f>
        <v/>
      </c>
      <c r="G163" s="7" t="n"/>
      <c r="H163" s="7" t="n"/>
    </row>
    <row r="164">
      <c r="A164" s="8" t="n"/>
      <c r="B164" s="7" t="n"/>
      <c r="C164" s="7" t="n"/>
      <c r="D164" s="9" t="n"/>
      <c r="E164" s="9" t="n"/>
      <c r="F164" s="19">
        <f>IF(AND(D164="",E164=""),"",SUM($D$13:D164)-SUM($E$13:E164))</f>
        <v/>
      </c>
      <c r="G164" s="7" t="n"/>
      <c r="H164" s="7" t="n"/>
    </row>
    <row r="165">
      <c r="A165" s="8" t="n"/>
      <c r="B165" s="7" t="n"/>
      <c r="C165" s="7" t="n"/>
      <c r="D165" s="9" t="n"/>
      <c r="E165" s="9" t="n"/>
      <c r="F165" s="19">
        <f>IF(AND(D165="",E165=""),"",SUM($D$13:D165)-SUM($E$13:E165))</f>
        <v/>
      </c>
      <c r="G165" s="7" t="n"/>
      <c r="H165" s="7" t="n"/>
    </row>
    <row r="166">
      <c r="A166" s="8" t="n"/>
      <c r="B166" s="7" t="n"/>
      <c r="C166" s="7" t="n"/>
      <c r="D166" s="9" t="n"/>
      <c r="E166" s="9" t="n"/>
      <c r="F166" s="19">
        <f>IF(AND(D166="",E166=""),"",SUM($D$13:D166)-SUM($E$13:E166))</f>
        <v/>
      </c>
      <c r="G166" s="7" t="n"/>
      <c r="H166" s="7" t="n"/>
    </row>
    <row r="167">
      <c r="A167" s="8" t="n"/>
      <c r="B167" s="7" t="n"/>
      <c r="C167" s="7" t="n"/>
      <c r="D167" s="9" t="n"/>
      <c r="E167" s="9" t="n"/>
      <c r="F167" s="19">
        <f>IF(AND(D167="",E167=""),"",SUM($D$13:D167)-SUM($E$13:E167))</f>
        <v/>
      </c>
      <c r="G167" s="7" t="n"/>
      <c r="H167" s="7" t="n"/>
    </row>
    <row r="168">
      <c r="A168" s="8" t="n"/>
      <c r="B168" s="7" t="n"/>
      <c r="C168" s="7" t="n"/>
      <c r="D168" s="9" t="n"/>
      <c r="E168" s="9" t="n"/>
      <c r="F168" s="19">
        <f>IF(AND(D168="",E168=""),"",SUM($D$13:D168)-SUM($E$13:E168))</f>
        <v/>
      </c>
      <c r="G168" s="7" t="n"/>
      <c r="H168" s="7" t="n"/>
    </row>
    <row r="169">
      <c r="A169" s="8" t="n"/>
      <c r="B169" s="7" t="n"/>
      <c r="C169" s="7" t="n"/>
      <c r="D169" s="9" t="n"/>
      <c r="E169" s="9" t="n"/>
      <c r="F169" s="19">
        <f>IF(AND(D169="",E169=""),"",SUM($D$13:D169)-SUM($E$13:E169))</f>
        <v/>
      </c>
      <c r="G169" s="7" t="n"/>
      <c r="H169" s="7" t="n"/>
    </row>
    <row r="170">
      <c r="A170" s="8" t="n"/>
      <c r="B170" s="7" t="n"/>
      <c r="C170" s="7" t="n"/>
      <c r="D170" s="9" t="n"/>
      <c r="E170" s="9" t="n"/>
      <c r="F170" s="19">
        <f>IF(AND(D170="",E170=""),"",SUM($D$13:D170)-SUM($E$13:E170))</f>
        <v/>
      </c>
      <c r="G170" s="7" t="n"/>
      <c r="H170" s="7" t="n"/>
    </row>
    <row r="171">
      <c r="A171" s="8" t="n"/>
      <c r="B171" s="7" t="n"/>
      <c r="C171" s="7" t="n"/>
      <c r="D171" s="9" t="n"/>
      <c r="E171" s="9" t="n"/>
      <c r="F171" s="19">
        <f>IF(AND(D171="",E171=""),"",SUM($D$13:D171)-SUM($E$13:E171))</f>
        <v/>
      </c>
      <c r="G171" s="7" t="n"/>
      <c r="H171" s="7" t="n"/>
    </row>
    <row r="172">
      <c r="A172" s="8" t="n"/>
      <c r="B172" s="7" t="n"/>
      <c r="C172" s="7" t="n"/>
      <c r="D172" s="9" t="n"/>
      <c r="E172" s="9" t="n"/>
      <c r="F172" s="19">
        <f>IF(AND(D172="",E172=""),"",SUM($D$13:D172)-SUM($E$13:E172))</f>
        <v/>
      </c>
      <c r="G172" s="7" t="n"/>
      <c r="H172" s="7" t="n"/>
    </row>
    <row r="173">
      <c r="A173" s="8" t="n"/>
      <c r="B173" s="7" t="n"/>
      <c r="C173" s="7" t="n"/>
      <c r="D173" s="9" t="n"/>
      <c r="E173" s="9" t="n"/>
      <c r="F173" s="19">
        <f>IF(AND(D173="",E173=""),"",SUM($D$13:D173)-SUM($E$13:E173))</f>
        <v/>
      </c>
      <c r="G173" s="7" t="n"/>
      <c r="H173" s="7" t="n"/>
    </row>
    <row r="174">
      <c r="A174" s="8" t="n"/>
      <c r="B174" s="7" t="n"/>
      <c r="C174" s="7" t="n"/>
      <c r="D174" s="9" t="n"/>
      <c r="E174" s="9" t="n"/>
      <c r="F174" s="19">
        <f>IF(AND(D174="",E174=""),"",SUM($D$13:D174)-SUM($E$13:E174))</f>
        <v/>
      </c>
      <c r="G174" s="7" t="n"/>
      <c r="H174" s="7" t="n"/>
    </row>
    <row r="175">
      <c r="A175" s="8" t="n"/>
      <c r="B175" s="7" t="n"/>
      <c r="C175" s="7" t="n"/>
      <c r="D175" s="9" t="n"/>
      <c r="E175" s="9" t="n"/>
      <c r="F175" s="19">
        <f>IF(AND(D175="",E175=""),"",SUM($D$13:D175)-SUM($E$13:E175))</f>
        <v/>
      </c>
      <c r="G175" s="7" t="n"/>
      <c r="H175" s="7" t="n"/>
    </row>
    <row r="176">
      <c r="A176" s="8" t="n"/>
      <c r="B176" s="7" t="n"/>
      <c r="C176" s="7" t="n"/>
      <c r="D176" s="9" t="n"/>
      <c r="E176" s="9" t="n"/>
      <c r="F176" s="19">
        <f>IF(AND(D176="",E176=""),"",SUM($D$13:D176)-SUM($E$13:E176))</f>
        <v/>
      </c>
      <c r="G176" s="7" t="n"/>
      <c r="H176" s="7" t="n"/>
    </row>
    <row r="177">
      <c r="A177" s="8" t="n"/>
      <c r="B177" s="7" t="n"/>
      <c r="C177" s="7" t="n"/>
      <c r="D177" s="9" t="n"/>
      <c r="E177" s="9" t="n"/>
      <c r="F177" s="19">
        <f>IF(AND(D177="",E177=""),"",SUM($D$13:D177)-SUM($E$13:E177))</f>
        <v/>
      </c>
      <c r="G177" s="7" t="n"/>
      <c r="H177" s="7" t="n"/>
    </row>
    <row r="178">
      <c r="A178" s="8" t="n"/>
      <c r="B178" s="7" t="n"/>
      <c r="C178" s="7" t="n"/>
      <c r="D178" s="9" t="n"/>
      <c r="E178" s="9" t="n"/>
      <c r="F178" s="19">
        <f>IF(AND(D178="",E178=""),"",SUM($D$13:D178)-SUM($E$13:E178))</f>
        <v/>
      </c>
      <c r="G178" s="7" t="n"/>
      <c r="H178" s="7" t="n"/>
    </row>
    <row r="179">
      <c r="A179" s="8" t="n"/>
      <c r="B179" s="7" t="n"/>
      <c r="C179" s="7" t="n"/>
      <c r="D179" s="9" t="n"/>
      <c r="E179" s="9" t="n"/>
      <c r="F179" s="19">
        <f>IF(AND(D179="",E179=""),"",SUM($D$13:D179)-SUM($E$13:E179))</f>
        <v/>
      </c>
      <c r="G179" s="7" t="n"/>
      <c r="H179" s="7" t="n"/>
    </row>
    <row r="180">
      <c r="A180" s="8" t="n"/>
      <c r="B180" s="7" t="n"/>
      <c r="C180" s="7" t="n"/>
      <c r="D180" s="9" t="n"/>
      <c r="E180" s="9" t="n"/>
      <c r="F180" s="19">
        <f>IF(AND(D180="",E180=""),"",SUM($D$13:D180)-SUM($E$13:E180))</f>
        <v/>
      </c>
      <c r="G180" s="7" t="n"/>
      <c r="H180" s="7" t="n"/>
    </row>
    <row r="181">
      <c r="A181" s="8" t="n"/>
      <c r="B181" s="7" t="n"/>
      <c r="C181" s="7" t="n"/>
      <c r="D181" s="9" t="n"/>
      <c r="E181" s="9" t="n"/>
      <c r="F181" s="19">
        <f>IF(AND(D181="",E181=""),"",SUM($D$13:D181)-SUM($E$13:E181))</f>
        <v/>
      </c>
      <c r="G181" s="7" t="n"/>
      <c r="H181" s="7" t="n"/>
    </row>
    <row r="182">
      <c r="A182" s="8" t="n"/>
      <c r="B182" s="7" t="n"/>
      <c r="C182" s="7" t="n"/>
      <c r="D182" s="9" t="n"/>
      <c r="E182" s="9" t="n"/>
      <c r="F182" s="19">
        <f>IF(AND(D182="",E182=""),"",SUM($D$13:D182)-SUM($E$13:E182))</f>
        <v/>
      </c>
      <c r="G182" s="7" t="n"/>
      <c r="H182" s="7" t="n"/>
    </row>
    <row r="183">
      <c r="A183" s="8" t="n"/>
      <c r="B183" s="7" t="n"/>
      <c r="C183" s="7" t="n"/>
      <c r="D183" s="9" t="n"/>
      <c r="E183" s="9" t="n"/>
      <c r="F183" s="19">
        <f>IF(AND(D183="",E183=""),"",SUM($D$13:D183)-SUM($E$13:E183))</f>
        <v/>
      </c>
      <c r="G183" s="7" t="n"/>
      <c r="H183" s="7" t="n"/>
    </row>
    <row r="184">
      <c r="A184" s="8" t="n"/>
      <c r="B184" s="7" t="n"/>
      <c r="C184" s="7" t="n"/>
      <c r="D184" s="9" t="n"/>
      <c r="E184" s="9" t="n"/>
      <c r="F184" s="19">
        <f>IF(AND(D184="",E184=""),"",SUM($D$13:D184)-SUM($E$13:E184))</f>
        <v/>
      </c>
      <c r="G184" s="7" t="n"/>
      <c r="H184" s="7" t="n"/>
    </row>
    <row r="185">
      <c r="A185" s="8" t="n"/>
      <c r="B185" s="7" t="n"/>
      <c r="C185" s="7" t="n"/>
      <c r="D185" s="9" t="n"/>
      <c r="E185" s="9" t="n"/>
      <c r="F185" s="19">
        <f>IF(AND(D185="",E185=""),"",SUM($D$13:D185)-SUM($E$13:E185))</f>
        <v/>
      </c>
      <c r="G185" s="7" t="n"/>
      <c r="H185" s="7" t="n"/>
    </row>
    <row r="186">
      <c r="A186" s="8" t="n"/>
      <c r="B186" s="7" t="n"/>
      <c r="C186" s="7" t="n"/>
      <c r="D186" s="9" t="n"/>
      <c r="E186" s="9" t="n"/>
      <c r="F186" s="19">
        <f>IF(AND(D186="",E186=""),"",SUM($D$13:D186)-SUM($E$13:E186))</f>
        <v/>
      </c>
      <c r="G186" s="7" t="n"/>
      <c r="H186" s="7" t="n"/>
    </row>
    <row r="187">
      <c r="A187" s="8" t="n"/>
      <c r="B187" s="7" t="n"/>
      <c r="C187" s="7" t="n"/>
      <c r="D187" s="9" t="n"/>
      <c r="E187" s="9" t="n"/>
      <c r="F187" s="19">
        <f>IF(AND(D187="",E187=""),"",SUM($D$13:D187)-SUM($E$13:E187))</f>
        <v/>
      </c>
      <c r="G187" s="7" t="n"/>
      <c r="H187" s="7" t="n"/>
    </row>
    <row r="188">
      <c r="A188" s="8" t="n"/>
      <c r="B188" s="7" t="n"/>
      <c r="C188" s="7" t="n"/>
      <c r="D188" s="9" t="n"/>
      <c r="E188" s="9" t="n"/>
      <c r="F188" s="19">
        <f>IF(AND(D188="",E188=""),"",SUM($D$13:D188)-SUM($E$13:E188))</f>
        <v/>
      </c>
      <c r="G188" s="7" t="n"/>
      <c r="H188" s="7" t="n"/>
    </row>
    <row r="189">
      <c r="A189" s="8" t="n"/>
      <c r="B189" s="7" t="n"/>
      <c r="C189" s="7" t="n"/>
      <c r="D189" s="9" t="n"/>
      <c r="E189" s="9" t="n"/>
      <c r="F189" s="19">
        <f>IF(AND(D189="",E189=""),"",SUM($D$13:D189)-SUM($E$13:E189))</f>
        <v/>
      </c>
      <c r="G189" s="7" t="n"/>
      <c r="H189" s="7" t="n"/>
    </row>
    <row r="190">
      <c r="A190" s="8" t="n"/>
      <c r="B190" s="7" t="n"/>
      <c r="C190" s="7" t="n"/>
      <c r="D190" s="9" t="n"/>
      <c r="E190" s="9" t="n"/>
      <c r="F190" s="19">
        <f>IF(AND(D190="",E190=""),"",SUM($D$13:D190)-SUM($E$13:E190))</f>
        <v/>
      </c>
      <c r="G190" s="7" t="n"/>
      <c r="H190" s="7" t="n"/>
    </row>
    <row r="191">
      <c r="A191" s="8" t="n"/>
      <c r="B191" s="7" t="n"/>
      <c r="C191" s="7" t="n"/>
      <c r="D191" s="9" t="n"/>
      <c r="E191" s="9" t="n"/>
      <c r="F191" s="19">
        <f>IF(AND(D191="",E191=""),"",SUM($D$13:D191)-SUM($E$13:E191))</f>
        <v/>
      </c>
      <c r="G191" s="7" t="n"/>
      <c r="H191" s="7" t="n"/>
    </row>
    <row r="192">
      <c r="A192" s="8" t="n"/>
      <c r="B192" s="7" t="n"/>
      <c r="C192" s="7" t="n"/>
      <c r="D192" s="9" t="n"/>
      <c r="E192" s="9" t="n"/>
      <c r="F192" s="19">
        <f>IF(AND(D192="",E192=""),"",SUM($D$13:D192)-SUM($E$13:E192))</f>
        <v/>
      </c>
      <c r="G192" s="7" t="n"/>
      <c r="H192" s="7" t="n"/>
    </row>
    <row r="193">
      <c r="A193" s="8" t="n"/>
      <c r="B193" s="7" t="n"/>
      <c r="C193" s="7" t="n"/>
      <c r="D193" s="9" t="n"/>
      <c r="E193" s="9" t="n"/>
      <c r="F193" s="19">
        <f>IF(AND(D193="",E193=""),"",SUM($D$13:D193)-SUM($E$13:E193))</f>
        <v/>
      </c>
      <c r="G193" s="7" t="n"/>
      <c r="H193" s="7" t="n"/>
    </row>
    <row r="194">
      <c r="A194" s="8" t="n"/>
      <c r="B194" s="7" t="n"/>
      <c r="C194" s="7" t="n"/>
      <c r="D194" s="9" t="n"/>
      <c r="E194" s="9" t="n"/>
      <c r="F194" s="19">
        <f>IF(AND(D194="",E194=""),"",SUM($D$13:D194)-SUM($E$13:E194))</f>
        <v/>
      </c>
      <c r="G194" s="7" t="n"/>
      <c r="H194" s="7" t="n"/>
    </row>
    <row r="195">
      <c r="A195" s="8" t="n"/>
      <c r="B195" s="7" t="n"/>
      <c r="C195" s="7" t="n"/>
      <c r="D195" s="9" t="n"/>
      <c r="E195" s="9" t="n"/>
      <c r="F195" s="19">
        <f>IF(AND(D195="",E195=""),"",SUM($D$13:D195)-SUM($E$13:E195))</f>
        <v/>
      </c>
      <c r="G195" s="7" t="n"/>
      <c r="H195" s="7" t="n"/>
    </row>
    <row r="196">
      <c r="A196" s="8" t="n"/>
      <c r="B196" s="7" t="n"/>
      <c r="C196" s="7" t="n"/>
      <c r="D196" s="9" t="n"/>
      <c r="E196" s="9" t="n"/>
      <c r="F196" s="19">
        <f>IF(AND(D196="",E196=""),"",SUM($D$13:D196)-SUM($E$13:E196))</f>
        <v/>
      </c>
      <c r="G196" s="7" t="n"/>
      <c r="H196" s="7" t="n"/>
    </row>
    <row r="197">
      <c r="A197" s="8" t="n"/>
      <c r="B197" s="7" t="n"/>
      <c r="C197" s="7" t="n"/>
      <c r="D197" s="9" t="n"/>
      <c r="E197" s="9" t="n"/>
      <c r="F197" s="19">
        <f>IF(AND(D197="",E197=""),"",SUM($D$13:D197)-SUM($E$13:E197))</f>
        <v/>
      </c>
      <c r="G197" s="7" t="n"/>
      <c r="H197" s="7" t="n"/>
    </row>
    <row r="198">
      <c r="A198" s="8" t="n"/>
      <c r="B198" s="7" t="n"/>
      <c r="C198" s="7" t="n"/>
      <c r="D198" s="9" t="n"/>
      <c r="E198" s="9" t="n"/>
      <c r="F198" s="19">
        <f>IF(AND(D198="",E198=""),"",SUM($D$13:D198)-SUM($E$13:E198))</f>
        <v/>
      </c>
      <c r="G198" s="7" t="n"/>
      <c r="H198" s="7" t="n"/>
    </row>
    <row r="199">
      <c r="A199" s="8" t="n"/>
      <c r="B199" s="7" t="n"/>
      <c r="C199" s="7" t="n"/>
      <c r="D199" s="9" t="n"/>
      <c r="E199" s="9" t="n"/>
      <c r="F199" s="19">
        <f>IF(AND(D199="",E199=""),"",SUM($D$13:D199)-SUM($E$13:E199))</f>
        <v/>
      </c>
      <c r="G199" s="7" t="n"/>
      <c r="H199" s="7" t="n"/>
    </row>
    <row r="200">
      <c r="A200" s="8" t="n"/>
      <c r="B200" s="7" t="n"/>
      <c r="C200" s="7" t="n"/>
      <c r="D200" s="9" t="n"/>
      <c r="E200" s="9" t="n"/>
      <c r="F200" s="19">
        <f>IF(AND(D200="",E200=""),"",SUM($D$13:D200)-SUM($E$13:E200))</f>
        <v/>
      </c>
      <c r="G200" s="7" t="n"/>
      <c r="H200" s="7" t="n"/>
    </row>
    <row r="201">
      <c r="A201" s="8" t="n"/>
      <c r="B201" s="7" t="n"/>
      <c r="C201" s="7" t="n"/>
      <c r="D201" s="9" t="n"/>
      <c r="E201" s="9" t="n"/>
      <c r="F201" s="19">
        <f>IF(AND(D201="",E201=""),"",SUM($D$13:D201)-SUM($E$13:E201))</f>
        <v/>
      </c>
      <c r="G201" s="7" t="n"/>
      <c r="H201" s="7" t="n"/>
    </row>
    <row r="202">
      <c r="A202" s="8" t="n"/>
      <c r="B202" s="7" t="n"/>
      <c r="C202" s="7" t="n"/>
      <c r="D202" s="9" t="n"/>
      <c r="E202" s="9" t="n"/>
      <c r="F202" s="19">
        <f>IF(AND(D202="",E202=""),"",SUM($D$13:D202)-SUM($E$13:E202))</f>
        <v/>
      </c>
      <c r="G202" s="7" t="n"/>
      <c r="H202" s="7" t="n"/>
    </row>
    <row r="203">
      <c r="A203" s="8" t="n"/>
      <c r="B203" s="7" t="n"/>
      <c r="C203" s="7" t="n"/>
      <c r="D203" s="9" t="n"/>
      <c r="E203" s="9" t="n"/>
      <c r="F203" s="19">
        <f>IF(AND(D203="",E203=""),"",SUM($D$13:D203)-SUM($E$13:E203))</f>
        <v/>
      </c>
      <c r="G203" s="7" t="n"/>
      <c r="H203" s="7" t="n"/>
    </row>
    <row r="204">
      <c r="A204" s="8" t="n"/>
      <c r="B204" s="7" t="n"/>
      <c r="C204" s="7" t="n"/>
      <c r="D204" s="9" t="n"/>
      <c r="E204" s="9" t="n"/>
      <c r="F204" s="19">
        <f>IF(AND(D204="",E204=""),"",SUM($D$13:D204)-SUM($E$13:E204))</f>
        <v/>
      </c>
      <c r="G204" s="7" t="n"/>
      <c r="H204" s="7" t="n"/>
    </row>
    <row r="205">
      <c r="A205" s="8" t="n"/>
      <c r="B205" s="7" t="n"/>
      <c r="C205" s="7" t="n"/>
      <c r="D205" s="9" t="n"/>
      <c r="E205" s="9" t="n"/>
      <c r="F205" s="19">
        <f>IF(AND(D205="",E205=""),"",SUM($D$13:D205)-SUM($E$13:E205))</f>
        <v/>
      </c>
      <c r="G205" s="7" t="n"/>
      <c r="H205" s="7" t="n"/>
    </row>
    <row r="206">
      <c r="A206" s="8" t="n"/>
      <c r="B206" s="7" t="n"/>
      <c r="C206" s="7" t="n"/>
      <c r="D206" s="9" t="n"/>
      <c r="E206" s="9" t="n"/>
      <c r="F206" s="19">
        <f>IF(AND(D206="",E206=""),"",SUM($D$13:D206)-SUM($E$13:E206))</f>
        <v/>
      </c>
      <c r="G206" s="7" t="n"/>
      <c r="H206" s="7" t="n"/>
    </row>
    <row r="207">
      <c r="A207" s="8" t="n"/>
      <c r="B207" s="7" t="n"/>
      <c r="C207" s="7" t="n"/>
      <c r="D207" s="9" t="n"/>
      <c r="E207" s="9" t="n"/>
      <c r="F207" s="19">
        <f>IF(AND(D207="",E207=""),"",SUM($D$13:D207)-SUM($E$13:E207))</f>
        <v/>
      </c>
      <c r="G207" s="7" t="n"/>
      <c r="H207" s="7" t="n"/>
    </row>
    <row r="208">
      <c r="A208" s="8" t="n"/>
      <c r="B208" s="7" t="n"/>
      <c r="C208" s="7" t="n"/>
      <c r="D208" s="9" t="n"/>
      <c r="E208" s="9" t="n"/>
      <c r="F208" s="19">
        <f>IF(AND(D208="",E208=""),"",SUM($D$13:D208)-SUM($E$13:E208))</f>
        <v/>
      </c>
      <c r="G208" s="7" t="n"/>
      <c r="H208" s="7" t="n"/>
    </row>
    <row r="209">
      <c r="A209" s="8" t="n"/>
      <c r="B209" s="7" t="n"/>
      <c r="C209" s="7" t="n"/>
      <c r="D209" s="9" t="n"/>
      <c r="E209" s="9" t="n"/>
      <c r="F209" s="19">
        <f>IF(AND(D209="",E209=""),"",SUM($D$13:D209)-SUM($E$13:E209))</f>
        <v/>
      </c>
      <c r="G209" s="7" t="n"/>
      <c r="H209" s="7" t="n"/>
    </row>
    <row r="210">
      <c r="A210" s="8" t="n"/>
      <c r="B210" s="7" t="n"/>
      <c r="C210" s="7" t="n"/>
      <c r="D210" s="9" t="n"/>
      <c r="E210" s="9" t="n"/>
      <c r="F210" s="19">
        <f>IF(AND(D210="",E210=""),"",SUM($D$13:D210)-SUM($E$13:E210))</f>
        <v/>
      </c>
      <c r="G210" s="7" t="n"/>
      <c r="H210" s="7" t="n"/>
    </row>
    <row r="211">
      <c r="A211" s="8" t="n"/>
      <c r="B211" s="7" t="n"/>
      <c r="C211" s="7" t="n"/>
      <c r="D211" s="9" t="n"/>
      <c r="E211" s="9" t="n"/>
      <c r="F211" s="19">
        <f>IF(AND(D211="",E211=""),"",SUM($D$13:D211)-SUM($E$13:E211))</f>
        <v/>
      </c>
      <c r="G211" s="7" t="n"/>
      <c r="H211" s="7" t="n"/>
    </row>
    <row r="212">
      <c r="A212" s="8" t="n"/>
      <c r="B212" s="7" t="n"/>
      <c r="C212" s="7" t="n"/>
      <c r="D212" s="9" t="n"/>
      <c r="E212" s="9" t="n"/>
      <c r="F212" s="19">
        <f>IF(AND(D212="",E212=""),"",SUM($D$13:D212)-SUM($E$13:E212))</f>
        <v/>
      </c>
      <c r="G212" s="7" t="n"/>
      <c r="H212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A13:H212">
    <cfRule type="expression" priority="1" dxfId="0">
      <formula>AND($E13&gt;0,$G13&lt;&gt;"Yes")</formula>
    </cfRule>
  </conditionalFormatting>
  <dataValidations count="2">
    <dataValidation sqref="C13:C212" showDropDown="0" showInputMessage="0" showErrorMessage="1" allowBlank="1" errorTitle="Pick from the list" error="Choose one of the options in the dropdown." type="list">
      <formula1>"income-interest,income-dividend,income-other,sale proceeds,transfer in,funeral,administration,legal,accounting,tax,debt paid,distribution,reimbursement to executor"</formula1>
    </dataValidation>
    <dataValidation sqref="G13:G212" showDropDown="0" showInputMessage="0" showErrorMessage="1" allowBlank="1" errorTitle="Pick from the list" error="Choose one of the options in the dropdown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1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1" customWidth="1" min="4" max="4"/>
    <col width="16" customWidth="1" min="5" max="5"/>
    <col width="12" customWidth="1" min="6" max="6"/>
    <col width="16" customWidth="1" min="7" max="7"/>
    <col width="12" customWidth="1" min="8" max="8"/>
    <col width="44" customWidth="1" min="9" max="9"/>
  </cols>
  <sheetData>
    <row r="1">
      <c r="A1" s="1" t="inlineStr">
        <is>
          <t>THE EXECUTOR'S DESK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Claims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4" t="inlineStr">
        <is>
          <t>Every creditor claim as it arrives. Do not pay until the window closes and the estate is known to be solvent.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6" t="inlineStr">
        <is>
          <t>Creditor window closes on</t>
        </is>
      </c>
      <c r="B5" s="20">
        <f>IF('Start here'!B25="","",'Start here'!B25)</f>
        <v/>
      </c>
      <c r="C5" s="4" t="inlineStr">
        <is>
          <t>(set on the Start here tab; rows received after this date turn red)</t>
        </is>
      </c>
      <c r="D5" s="2" t="n"/>
      <c r="E5" s="2" t="n"/>
      <c r="F5" s="2" t="n"/>
      <c r="G5" s="2" t="n"/>
      <c r="H5" s="2" t="n"/>
      <c r="I5" s="2" t="n"/>
    </row>
    <row r="6">
      <c r="A6" s="11" t="inlineStr">
        <is>
          <t>Total claimed</t>
        </is>
      </c>
      <c r="B6" s="13">
        <f>SUM($C$12:$C$211)</f>
        <v/>
      </c>
      <c r="C6" s="2" t="n"/>
      <c r="D6" s="2" t="n"/>
      <c r="E6" s="2" t="n"/>
      <c r="F6" s="2" t="n"/>
      <c r="G6" s="2" t="n"/>
      <c r="H6" s="2" t="n"/>
      <c r="I6" s="2" t="n"/>
    </row>
    <row r="7">
      <c r="A7" s="11" t="inlineStr">
        <is>
          <t>Total allowed</t>
        </is>
      </c>
      <c r="B7" s="13">
        <f>SUM($G$12:$G$211)</f>
        <v/>
      </c>
      <c r="C7" s="2" t="n"/>
      <c r="D7" s="2" t="n"/>
      <c r="E7" s="2" t="n"/>
      <c r="F7" s="2" t="n"/>
      <c r="G7" s="2" t="n"/>
      <c r="H7" s="2" t="n"/>
      <c r="I7" s="2" t="n"/>
    </row>
    <row r="8">
      <c r="A8" s="11" t="inlineStr">
        <is>
          <t>Total paid (from Ledger, category 'debt paid')</t>
        </is>
      </c>
      <c r="B8" s="13">
        <f>SUMIF(Ledger!$C$13:$C$212,"debt paid",Ledger!$E$13:$E$212)</f>
        <v/>
      </c>
      <c r="C8" s="2" t="n"/>
      <c r="D8" s="2" t="n"/>
      <c r="E8" s="2" t="n"/>
      <c r="F8" s="2" t="n"/>
      <c r="G8" s="2" t="n"/>
      <c r="H8" s="2" t="n"/>
      <c r="I8" s="2" t="n"/>
    </row>
    <row r="9">
      <c r="A9" s="11" t="inlineStr">
        <is>
          <t>Claims still pending (count)</t>
        </is>
      </c>
      <c r="B9" s="11">
        <f>COUNTIF($F$12:$F$211,"pending")</f>
        <v/>
      </c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30" customHeight="1">
      <c r="A11" s="15" t="inlineStr">
        <is>
          <t>Creditor</t>
        </is>
      </c>
      <c r="B11" s="15" t="inlineStr">
        <is>
          <t>Date received</t>
        </is>
      </c>
      <c r="C11" s="15" t="inlineStr">
        <is>
          <t>Amount claimed</t>
        </is>
      </c>
      <c r="D11" s="15" t="inlineStr">
        <is>
          <t>Secured?</t>
        </is>
      </c>
      <c r="E11" s="15" t="inlineStr">
        <is>
          <t>Documentation received?</t>
        </is>
      </c>
      <c r="F11" s="15" t="inlineStr">
        <is>
          <t>Status</t>
        </is>
      </c>
      <c r="G11" s="15" t="inlineStr">
        <is>
          <t>Amount allowed</t>
        </is>
      </c>
      <c r="H11" s="15" t="inlineStr">
        <is>
          <t>Date paid</t>
        </is>
      </c>
      <c r="I11" s="15" t="inlineStr">
        <is>
          <t>Notes</t>
        </is>
      </c>
    </row>
    <row r="12">
      <c r="A12" s="16" t="inlineStr">
        <is>
          <t>Capital One (card ending 2210)</t>
        </is>
      </c>
      <c r="B12" s="18" t="n">
        <v>46132</v>
      </c>
      <c r="C12" s="17" t="n">
        <v>3412.77</v>
      </c>
      <c r="D12" s="16" t="inlineStr">
        <is>
          <t>No</t>
        </is>
      </c>
      <c r="E12" s="16" t="inlineStr">
        <is>
          <t>Yes</t>
        </is>
      </c>
      <c r="F12" s="16" t="inlineStr">
        <is>
          <t>allowed</t>
        </is>
      </c>
      <c r="G12" s="17" t="n">
        <v>3412.77</v>
      </c>
      <c r="H12" s="8" t="n"/>
      <c r="I12" s="16" t="inlineStr">
        <is>
          <t>Statement matches date-of-death balance</t>
        </is>
      </c>
    </row>
    <row r="13">
      <c r="A13" s="16" t="inlineStr">
        <is>
          <t>Miami Valley Hospital</t>
        </is>
      </c>
      <c r="B13" s="18" t="n">
        <v>46144</v>
      </c>
      <c r="C13" s="17" t="n">
        <v>8900</v>
      </c>
      <c r="D13" s="16" t="inlineStr">
        <is>
          <t>No</t>
        </is>
      </c>
      <c r="E13" s="16" t="inlineStr">
        <is>
          <t>No</t>
        </is>
      </c>
      <c r="F13" s="16" t="inlineStr">
        <is>
          <t>disputed</t>
        </is>
      </c>
      <c r="G13" s="17" t="n">
        <v>0</v>
      </c>
      <c r="H13" s="8" t="n"/>
      <c r="I13" s="16" t="inlineStr">
        <is>
          <t>Itemized bill requested 2026-05-03; Medicare not yet billed</t>
        </is>
      </c>
    </row>
    <row r="14">
      <c r="A14" s="16" t="inlineStr">
        <is>
          <t>Late claim: Acme Collections</t>
        </is>
      </c>
      <c r="B14" s="18" t="n">
        <v>46295</v>
      </c>
      <c r="C14" s="17" t="n">
        <v>640</v>
      </c>
      <c r="D14" s="16" t="inlineStr">
        <is>
          <t>No</t>
        </is>
      </c>
      <c r="E14" s="16" t="inlineStr">
        <is>
          <t>No</t>
        </is>
      </c>
      <c r="F14" s="16" t="inlineStr">
        <is>
          <t>rejected</t>
        </is>
      </c>
      <c r="G14" s="17" t="n">
        <v>0</v>
      </c>
      <c r="H14" s="8" t="n"/>
      <c r="I14" s="16" t="inlineStr">
        <is>
          <t>Received after window; rejection letter sent</t>
        </is>
      </c>
    </row>
    <row r="15">
      <c r="A15" s="7" t="n"/>
      <c r="B15" s="8" t="n"/>
      <c r="C15" s="9" t="n"/>
      <c r="D15" s="7" t="n"/>
      <c r="E15" s="7" t="n"/>
      <c r="F15" s="7" t="n"/>
      <c r="G15" s="9" t="n"/>
      <c r="H15" s="8" t="n"/>
      <c r="I15" s="7" t="n"/>
    </row>
    <row r="16">
      <c r="A16" s="7" t="n"/>
      <c r="B16" s="8" t="n"/>
      <c r="C16" s="9" t="n"/>
      <c r="D16" s="7" t="n"/>
      <c r="E16" s="7" t="n"/>
      <c r="F16" s="7" t="n"/>
      <c r="G16" s="9" t="n"/>
      <c r="H16" s="8" t="n"/>
      <c r="I16" s="7" t="n"/>
    </row>
    <row r="17">
      <c r="A17" s="7" t="n"/>
      <c r="B17" s="8" t="n"/>
      <c r="C17" s="9" t="n"/>
      <c r="D17" s="7" t="n"/>
      <c r="E17" s="7" t="n"/>
      <c r="F17" s="7" t="n"/>
      <c r="G17" s="9" t="n"/>
      <c r="H17" s="8" t="n"/>
      <c r="I17" s="7" t="n"/>
    </row>
    <row r="18">
      <c r="A18" s="7" t="n"/>
      <c r="B18" s="8" t="n"/>
      <c r="C18" s="9" t="n"/>
      <c r="D18" s="7" t="n"/>
      <c r="E18" s="7" t="n"/>
      <c r="F18" s="7" t="n"/>
      <c r="G18" s="9" t="n"/>
      <c r="H18" s="8" t="n"/>
      <c r="I18" s="7" t="n"/>
    </row>
    <row r="19">
      <c r="A19" s="7" t="n"/>
      <c r="B19" s="8" t="n"/>
      <c r="C19" s="9" t="n"/>
      <c r="D19" s="7" t="n"/>
      <c r="E19" s="7" t="n"/>
      <c r="F19" s="7" t="n"/>
      <c r="G19" s="9" t="n"/>
      <c r="H19" s="8" t="n"/>
      <c r="I19" s="7" t="n"/>
    </row>
    <row r="20">
      <c r="A20" s="7" t="n"/>
      <c r="B20" s="8" t="n"/>
      <c r="C20" s="9" t="n"/>
      <c r="D20" s="7" t="n"/>
      <c r="E20" s="7" t="n"/>
      <c r="F20" s="7" t="n"/>
      <c r="G20" s="9" t="n"/>
      <c r="H20" s="8" t="n"/>
      <c r="I20" s="7" t="n"/>
    </row>
    <row r="21">
      <c r="A21" s="7" t="n"/>
      <c r="B21" s="8" t="n"/>
      <c r="C21" s="9" t="n"/>
      <c r="D21" s="7" t="n"/>
      <c r="E21" s="7" t="n"/>
      <c r="F21" s="7" t="n"/>
      <c r="G21" s="9" t="n"/>
      <c r="H21" s="8" t="n"/>
      <c r="I21" s="7" t="n"/>
    </row>
    <row r="22">
      <c r="A22" s="7" t="n"/>
      <c r="B22" s="8" t="n"/>
      <c r="C22" s="9" t="n"/>
      <c r="D22" s="7" t="n"/>
      <c r="E22" s="7" t="n"/>
      <c r="F22" s="7" t="n"/>
      <c r="G22" s="9" t="n"/>
      <c r="H22" s="8" t="n"/>
      <c r="I22" s="7" t="n"/>
    </row>
    <row r="23">
      <c r="A23" s="7" t="n"/>
      <c r="B23" s="8" t="n"/>
      <c r="C23" s="9" t="n"/>
      <c r="D23" s="7" t="n"/>
      <c r="E23" s="7" t="n"/>
      <c r="F23" s="7" t="n"/>
      <c r="G23" s="9" t="n"/>
      <c r="H23" s="8" t="n"/>
      <c r="I23" s="7" t="n"/>
    </row>
    <row r="24">
      <c r="A24" s="7" t="n"/>
      <c r="B24" s="8" t="n"/>
      <c r="C24" s="9" t="n"/>
      <c r="D24" s="7" t="n"/>
      <c r="E24" s="7" t="n"/>
      <c r="F24" s="7" t="n"/>
      <c r="G24" s="9" t="n"/>
      <c r="H24" s="8" t="n"/>
      <c r="I24" s="7" t="n"/>
    </row>
    <row r="25">
      <c r="A25" s="7" t="n"/>
      <c r="B25" s="8" t="n"/>
      <c r="C25" s="9" t="n"/>
      <c r="D25" s="7" t="n"/>
      <c r="E25" s="7" t="n"/>
      <c r="F25" s="7" t="n"/>
      <c r="G25" s="9" t="n"/>
      <c r="H25" s="8" t="n"/>
      <c r="I25" s="7" t="n"/>
    </row>
    <row r="26">
      <c r="A26" s="7" t="n"/>
      <c r="B26" s="8" t="n"/>
      <c r="C26" s="9" t="n"/>
      <c r="D26" s="7" t="n"/>
      <c r="E26" s="7" t="n"/>
      <c r="F26" s="7" t="n"/>
      <c r="G26" s="9" t="n"/>
      <c r="H26" s="8" t="n"/>
      <c r="I26" s="7" t="n"/>
    </row>
    <row r="27">
      <c r="A27" s="7" t="n"/>
      <c r="B27" s="8" t="n"/>
      <c r="C27" s="9" t="n"/>
      <c r="D27" s="7" t="n"/>
      <c r="E27" s="7" t="n"/>
      <c r="F27" s="7" t="n"/>
      <c r="G27" s="9" t="n"/>
      <c r="H27" s="8" t="n"/>
      <c r="I27" s="7" t="n"/>
    </row>
    <row r="28">
      <c r="A28" s="7" t="n"/>
      <c r="B28" s="8" t="n"/>
      <c r="C28" s="9" t="n"/>
      <c r="D28" s="7" t="n"/>
      <c r="E28" s="7" t="n"/>
      <c r="F28" s="7" t="n"/>
      <c r="G28" s="9" t="n"/>
      <c r="H28" s="8" t="n"/>
      <c r="I28" s="7" t="n"/>
    </row>
    <row r="29">
      <c r="A29" s="7" t="n"/>
      <c r="B29" s="8" t="n"/>
      <c r="C29" s="9" t="n"/>
      <c r="D29" s="7" t="n"/>
      <c r="E29" s="7" t="n"/>
      <c r="F29" s="7" t="n"/>
      <c r="G29" s="9" t="n"/>
      <c r="H29" s="8" t="n"/>
      <c r="I29" s="7" t="n"/>
    </row>
    <row r="30">
      <c r="A30" s="7" t="n"/>
      <c r="B30" s="8" t="n"/>
      <c r="C30" s="9" t="n"/>
      <c r="D30" s="7" t="n"/>
      <c r="E30" s="7" t="n"/>
      <c r="F30" s="7" t="n"/>
      <c r="G30" s="9" t="n"/>
      <c r="H30" s="8" t="n"/>
      <c r="I30" s="7" t="n"/>
    </row>
    <row r="31">
      <c r="A31" s="7" t="n"/>
      <c r="B31" s="8" t="n"/>
      <c r="C31" s="9" t="n"/>
      <c r="D31" s="7" t="n"/>
      <c r="E31" s="7" t="n"/>
      <c r="F31" s="7" t="n"/>
      <c r="G31" s="9" t="n"/>
      <c r="H31" s="8" t="n"/>
      <c r="I31" s="7" t="n"/>
    </row>
    <row r="32">
      <c r="A32" s="7" t="n"/>
      <c r="B32" s="8" t="n"/>
      <c r="C32" s="9" t="n"/>
      <c r="D32" s="7" t="n"/>
      <c r="E32" s="7" t="n"/>
      <c r="F32" s="7" t="n"/>
      <c r="G32" s="9" t="n"/>
      <c r="H32" s="8" t="n"/>
      <c r="I32" s="7" t="n"/>
    </row>
    <row r="33">
      <c r="A33" s="7" t="n"/>
      <c r="B33" s="8" t="n"/>
      <c r="C33" s="9" t="n"/>
      <c r="D33" s="7" t="n"/>
      <c r="E33" s="7" t="n"/>
      <c r="F33" s="7" t="n"/>
      <c r="G33" s="9" t="n"/>
      <c r="H33" s="8" t="n"/>
      <c r="I33" s="7" t="n"/>
    </row>
    <row r="34">
      <c r="A34" s="7" t="n"/>
      <c r="B34" s="8" t="n"/>
      <c r="C34" s="9" t="n"/>
      <c r="D34" s="7" t="n"/>
      <c r="E34" s="7" t="n"/>
      <c r="F34" s="7" t="n"/>
      <c r="G34" s="9" t="n"/>
      <c r="H34" s="8" t="n"/>
      <c r="I34" s="7" t="n"/>
    </row>
    <row r="35">
      <c r="A35" s="7" t="n"/>
      <c r="B35" s="8" t="n"/>
      <c r="C35" s="9" t="n"/>
      <c r="D35" s="7" t="n"/>
      <c r="E35" s="7" t="n"/>
      <c r="F35" s="7" t="n"/>
      <c r="G35" s="9" t="n"/>
      <c r="H35" s="8" t="n"/>
      <c r="I35" s="7" t="n"/>
    </row>
    <row r="36">
      <c r="A36" s="7" t="n"/>
      <c r="B36" s="8" t="n"/>
      <c r="C36" s="9" t="n"/>
      <c r="D36" s="7" t="n"/>
      <c r="E36" s="7" t="n"/>
      <c r="F36" s="7" t="n"/>
      <c r="G36" s="9" t="n"/>
      <c r="H36" s="8" t="n"/>
      <c r="I36" s="7" t="n"/>
    </row>
    <row r="37">
      <c r="A37" s="7" t="n"/>
      <c r="B37" s="8" t="n"/>
      <c r="C37" s="9" t="n"/>
      <c r="D37" s="7" t="n"/>
      <c r="E37" s="7" t="n"/>
      <c r="F37" s="7" t="n"/>
      <c r="G37" s="9" t="n"/>
      <c r="H37" s="8" t="n"/>
      <c r="I37" s="7" t="n"/>
    </row>
    <row r="38">
      <c r="A38" s="7" t="n"/>
      <c r="B38" s="8" t="n"/>
      <c r="C38" s="9" t="n"/>
      <c r="D38" s="7" t="n"/>
      <c r="E38" s="7" t="n"/>
      <c r="F38" s="7" t="n"/>
      <c r="G38" s="9" t="n"/>
      <c r="H38" s="8" t="n"/>
      <c r="I38" s="7" t="n"/>
    </row>
    <row r="39">
      <c r="A39" s="7" t="n"/>
      <c r="B39" s="8" t="n"/>
      <c r="C39" s="9" t="n"/>
      <c r="D39" s="7" t="n"/>
      <c r="E39" s="7" t="n"/>
      <c r="F39" s="7" t="n"/>
      <c r="G39" s="9" t="n"/>
      <c r="H39" s="8" t="n"/>
      <c r="I39" s="7" t="n"/>
    </row>
    <row r="40">
      <c r="A40" s="7" t="n"/>
      <c r="B40" s="8" t="n"/>
      <c r="C40" s="9" t="n"/>
      <c r="D40" s="7" t="n"/>
      <c r="E40" s="7" t="n"/>
      <c r="F40" s="7" t="n"/>
      <c r="G40" s="9" t="n"/>
      <c r="H40" s="8" t="n"/>
      <c r="I40" s="7" t="n"/>
    </row>
    <row r="41">
      <c r="A41" s="7" t="n"/>
      <c r="B41" s="8" t="n"/>
      <c r="C41" s="9" t="n"/>
      <c r="D41" s="7" t="n"/>
      <c r="E41" s="7" t="n"/>
      <c r="F41" s="7" t="n"/>
      <c r="G41" s="9" t="n"/>
      <c r="H41" s="8" t="n"/>
      <c r="I41" s="7" t="n"/>
    </row>
    <row r="42">
      <c r="A42" s="7" t="n"/>
      <c r="B42" s="8" t="n"/>
      <c r="C42" s="9" t="n"/>
      <c r="D42" s="7" t="n"/>
      <c r="E42" s="7" t="n"/>
      <c r="F42" s="7" t="n"/>
      <c r="G42" s="9" t="n"/>
      <c r="H42" s="8" t="n"/>
      <c r="I42" s="7" t="n"/>
    </row>
    <row r="43">
      <c r="A43" s="7" t="n"/>
      <c r="B43" s="8" t="n"/>
      <c r="C43" s="9" t="n"/>
      <c r="D43" s="7" t="n"/>
      <c r="E43" s="7" t="n"/>
      <c r="F43" s="7" t="n"/>
      <c r="G43" s="9" t="n"/>
      <c r="H43" s="8" t="n"/>
      <c r="I43" s="7" t="n"/>
    </row>
    <row r="44">
      <c r="A44" s="7" t="n"/>
      <c r="B44" s="8" t="n"/>
      <c r="C44" s="9" t="n"/>
      <c r="D44" s="7" t="n"/>
      <c r="E44" s="7" t="n"/>
      <c r="F44" s="7" t="n"/>
      <c r="G44" s="9" t="n"/>
      <c r="H44" s="8" t="n"/>
      <c r="I44" s="7" t="n"/>
    </row>
    <row r="45">
      <c r="A45" s="7" t="n"/>
      <c r="B45" s="8" t="n"/>
      <c r="C45" s="9" t="n"/>
      <c r="D45" s="7" t="n"/>
      <c r="E45" s="7" t="n"/>
      <c r="F45" s="7" t="n"/>
      <c r="G45" s="9" t="n"/>
      <c r="H45" s="8" t="n"/>
      <c r="I45" s="7" t="n"/>
    </row>
    <row r="46">
      <c r="A46" s="7" t="n"/>
      <c r="B46" s="8" t="n"/>
      <c r="C46" s="9" t="n"/>
      <c r="D46" s="7" t="n"/>
      <c r="E46" s="7" t="n"/>
      <c r="F46" s="7" t="n"/>
      <c r="G46" s="9" t="n"/>
      <c r="H46" s="8" t="n"/>
      <c r="I46" s="7" t="n"/>
    </row>
    <row r="47">
      <c r="A47" s="7" t="n"/>
      <c r="B47" s="8" t="n"/>
      <c r="C47" s="9" t="n"/>
      <c r="D47" s="7" t="n"/>
      <c r="E47" s="7" t="n"/>
      <c r="F47" s="7" t="n"/>
      <c r="G47" s="9" t="n"/>
      <c r="H47" s="8" t="n"/>
      <c r="I47" s="7" t="n"/>
    </row>
    <row r="48">
      <c r="A48" s="7" t="n"/>
      <c r="B48" s="8" t="n"/>
      <c r="C48" s="9" t="n"/>
      <c r="D48" s="7" t="n"/>
      <c r="E48" s="7" t="n"/>
      <c r="F48" s="7" t="n"/>
      <c r="G48" s="9" t="n"/>
      <c r="H48" s="8" t="n"/>
      <c r="I48" s="7" t="n"/>
    </row>
    <row r="49">
      <c r="A49" s="7" t="n"/>
      <c r="B49" s="8" t="n"/>
      <c r="C49" s="9" t="n"/>
      <c r="D49" s="7" t="n"/>
      <c r="E49" s="7" t="n"/>
      <c r="F49" s="7" t="n"/>
      <c r="G49" s="9" t="n"/>
      <c r="H49" s="8" t="n"/>
      <c r="I49" s="7" t="n"/>
    </row>
    <row r="50">
      <c r="A50" s="7" t="n"/>
      <c r="B50" s="8" t="n"/>
      <c r="C50" s="9" t="n"/>
      <c r="D50" s="7" t="n"/>
      <c r="E50" s="7" t="n"/>
      <c r="F50" s="7" t="n"/>
      <c r="G50" s="9" t="n"/>
      <c r="H50" s="8" t="n"/>
      <c r="I50" s="7" t="n"/>
    </row>
    <row r="51">
      <c r="A51" s="7" t="n"/>
      <c r="B51" s="8" t="n"/>
      <c r="C51" s="9" t="n"/>
      <c r="D51" s="7" t="n"/>
      <c r="E51" s="7" t="n"/>
      <c r="F51" s="7" t="n"/>
      <c r="G51" s="9" t="n"/>
      <c r="H51" s="8" t="n"/>
      <c r="I51" s="7" t="n"/>
    </row>
    <row r="52">
      <c r="A52" s="7" t="n"/>
      <c r="B52" s="8" t="n"/>
      <c r="C52" s="9" t="n"/>
      <c r="D52" s="7" t="n"/>
      <c r="E52" s="7" t="n"/>
      <c r="F52" s="7" t="n"/>
      <c r="G52" s="9" t="n"/>
      <c r="H52" s="8" t="n"/>
      <c r="I52" s="7" t="n"/>
    </row>
    <row r="53">
      <c r="A53" s="7" t="n"/>
      <c r="B53" s="8" t="n"/>
      <c r="C53" s="9" t="n"/>
      <c r="D53" s="7" t="n"/>
      <c r="E53" s="7" t="n"/>
      <c r="F53" s="7" t="n"/>
      <c r="G53" s="9" t="n"/>
      <c r="H53" s="8" t="n"/>
      <c r="I53" s="7" t="n"/>
    </row>
    <row r="54">
      <c r="A54" s="7" t="n"/>
      <c r="B54" s="8" t="n"/>
      <c r="C54" s="9" t="n"/>
      <c r="D54" s="7" t="n"/>
      <c r="E54" s="7" t="n"/>
      <c r="F54" s="7" t="n"/>
      <c r="G54" s="9" t="n"/>
      <c r="H54" s="8" t="n"/>
      <c r="I54" s="7" t="n"/>
    </row>
    <row r="55">
      <c r="A55" s="7" t="n"/>
      <c r="B55" s="8" t="n"/>
      <c r="C55" s="9" t="n"/>
      <c r="D55" s="7" t="n"/>
      <c r="E55" s="7" t="n"/>
      <c r="F55" s="7" t="n"/>
      <c r="G55" s="9" t="n"/>
      <c r="H55" s="8" t="n"/>
      <c r="I55" s="7" t="n"/>
    </row>
    <row r="56">
      <c r="A56" s="7" t="n"/>
      <c r="B56" s="8" t="n"/>
      <c r="C56" s="9" t="n"/>
      <c r="D56" s="7" t="n"/>
      <c r="E56" s="7" t="n"/>
      <c r="F56" s="7" t="n"/>
      <c r="G56" s="9" t="n"/>
      <c r="H56" s="8" t="n"/>
      <c r="I56" s="7" t="n"/>
    </row>
    <row r="57">
      <c r="A57" s="7" t="n"/>
      <c r="B57" s="8" t="n"/>
      <c r="C57" s="9" t="n"/>
      <c r="D57" s="7" t="n"/>
      <c r="E57" s="7" t="n"/>
      <c r="F57" s="7" t="n"/>
      <c r="G57" s="9" t="n"/>
      <c r="H57" s="8" t="n"/>
      <c r="I57" s="7" t="n"/>
    </row>
    <row r="58">
      <c r="A58" s="7" t="n"/>
      <c r="B58" s="8" t="n"/>
      <c r="C58" s="9" t="n"/>
      <c r="D58" s="7" t="n"/>
      <c r="E58" s="7" t="n"/>
      <c r="F58" s="7" t="n"/>
      <c r="G58" s="9" t="n"/>
      <c r="H58" s="8" t="n"/>
      <c r="I58" s="7" t="n"/>
    </row>
    <row r="59">
      <c r="A59" s="7" t="n"/>
      <c r="B59" s="8" t="n"/>
      <c r="C59" s="9" t="n"/>
      <c r="D59" s="7" t="n"/>
      <c r="E59" s="7" t="n"/>
      <c r="F59" s="7" t="n"/>
      <c r="G59" s="9" t="n"/>
      <c r="H59" s="8" t="n"/>
      <c r="I59" s="7" t="n"/>
    </row>
    <row r="60">
      <c r="A60" s="7" t="n"/>
      <c r="B60" s="8" t="n"/>
      <c r="C60" s="9" t="n"/>
      <c r="D60" s="7" t="n"/>
      <c r="E60" s="7" t="n"/>
      <c r="F60" s="7" t="n"/>
      <c r="G60" s="9" t="n"/>
      <c r="H60" s="8" t="n"/>
      <c r="I60" s="7" t="n"/>
    </row>
    <row r="61">
      <c r="A61" s="7" t="n"/>
      <c r="B61" s="8" t="n"/>
      <c r="C61" s="9" t="n"/>
      <c r="D61" s="7" t="n"/>
      <c r="E61" s="7" t="n"/>
      <c r="F61" s="7" t="n"/>
      <c r="G61" s="9" t="n"/>
      <c r="H61" s="8" t="n"/>
      <c r="I61" s="7" t="n"/>
    </row>
    <row r="62">
      <c r="A62" s="7" t="n"/>
      <c r="B62" s="8" t="n"/>
      <c r="C62" s="9" t="n"/>
      <c r="D62" s="7" t="n"/>
      <c r="E62" s="7" t="n"/>
      <c r="F62" s="7" t="n"/>
      <c r="G62" s="9" t="n"/>
      <c r="H62" s="8" t="n"/>
      <c r="I62" s="7" t="n"/>
    </row>
    <row r="63">
      <c r="A63" s="7" t="n"/>
      <c r="B63" s="8" t="n"/>
      <c r="C63" s="9" t="n"/>
      <c r="D63" s="7" t="n"/>
      <c r="E63" s="7" t="n"/>
      <c r="F63" s="7" t="n"/>
      <c r="G63" s="9" t="n"/>
      <c r="H63" s="8" t="n"/>
      <c r="I63" s="7" t="n"/>
    </row>
    <row r="64">
      <c r="A64" s="7" t="n"/>
      <c r="B64" s="8" t="n"/>
      <c r="C64" s="9" t="n"/>
      <c r="D64" s="7" t="n"/>
      <c r="E64" s="7" t="n"/>
      <c r="F64" s="7" t="n"/>
      <c r="G64" s="9" t="n"/>
      <c r="H64" s="8" t="n"/>
      <c r="I64" s="7" t="n"/>
    </row>
    <row r="65">
      <c r="A65" s="7" t="n"/>
      <c r="B65" s="8" t="n"/>
      <c r="C65" s="9" t="n"/>
      <c r="D65" s="7" t="n"/>
      <c r="E65" s="7" t="n"/>
      <c r="F65" s="7" t="n"/>
      <c r="G65" s="9" t="n"/>
      <c r="H65" s="8" t="n"/>
      <c r="I65" s="7" t="n"/>
    </row>
    <row r="66">
      <c r="A66" s="7" t="n"/>
      <c r="B66" s="8" t="n"/>
      <c r="C66" s="9" t="n"/>
      <c r="D66" s="7" t="n"/>
      <c r="E66" s="7" t="n"/>
      <c r="F66" s="7" t="n"/>
      <c r="G66" s="9" t="n"/>
      <c r="H66" s="8" t="n"/>
      <c r="I66" s="7" t="n"/>
    </row>
    <row r="67">
      <c r="A67" s="7" t="n"/>
      <c r="B67" s="8" t="n"/>
      <c r="C67" s="9" t="n"/>
      <c r="D67" s="7" t="n"/>
      <c r="E67" s="7" t="n"/>
      <c r="F67" s="7" t="n"/>
      <c r="G67" s="9" t="n"/>
      <c r="H67" s="8" t="n"/>
      <c r="I67" s="7" t="n"/>
    </row>
    <row r="68">
      <c r="A68" s="7" t="n"/>
      <c r="B68" s="8" t="n"/>
      <c r="C68" s="9" t="n"/>
      <c r="D68" s="7" t="n"/>
      <c r="E68" s="7" t="n"/>
      <c r="F68" s="7" t="n"/>
      <c r="G68" s="9" t="n"/>
      <c r="H68" s="8" t="n"/>
      <c r="I68" s="7" t="n"/>
    </row>
    <row r="69">
      <c r="A69" s="7" t="n"/>
      <c r="B69" s="8" t="n"/>
      <c r="C69" s="9" t="n"/>
      <c r="D69" s="7" t="n"/>
      <c r="E69" s="7" t="n"/>
      <c r="F69" s="7" t="n"/>
      <c r="G69" s="9" t="n"/>
      <c r="H69" s="8" t="n"/>
      <c r="I69" s="7" t="n"/>
    </row>
    <row r="70">
      <c r="A70" s="7" t="n"/>
      <c r="B70" s="8" t="n"/>
      <c r="C70" s="9" t="n"/>
      <c r="D70" s="7" t="n"/>
      <c r="E70" s="7" t="n"/>
      <c r="F70" s="7" t="n"/>
      <c r="G70" s="9" t="n"/>
      <c r="H70" s="8" t="n"/>
      <c r="I70" s="7" t="n"/>
    </row>
    <row r="71">
      <c r="A71" s="7" t="n"/>
      <c r="B71" s="8" t="n"/>
      <c r="C71" s="9" t="n"/>
      <c r="D71" s="7" t="n"/>
      <c r="E71" s="7" t="n"/>
      <c r="F71" s="7" t="n"/>
      <c r="G71" s="9" t="n"/>
      <c r="H71" s="8" t="n"/>
      <c r="I71" s="7" t="n"/>
    </row>
    <row r="72">
      <c r="A72" s="7" t="n"/>
      <c r="B72" s="8" t="n"/>
      <c r="C72" s="9" t="n"/>
      <c r="D72" s="7" t="n"/>
      <c r="E72" s="7" t="n"/>
      <c r="F72" s="7" t="n"/>
      <c r="G72" s="9" t="n"/>
      <c r="H72" s="8" t="n"/>
      <c r="I72" s="7" t="n"/>
    </row>
    <row r="73">
      <c r="A73" s="7" t="n"/>
      <c r="B73" s="8" t="n"/>
      <c r="C73" s="9" t="n"/>
      <c r="D73" s="7" t="n"/>
      <c r="E73" s="7" t="n"/>
      <c r="F73" s="7" t="n"/>
      <c r="G73" s="9" t="n"/>
      <c r="H73" s="8" t="n"/>
      <c r="I73" s="7" t="n"/>
    </row>
    <row r="74">
      <c r="A74" s="7" t="n"/>
      <c r="B74" s="8" t="n"/>
      <c r="C74" s="9" t="n"/>
      <c r="D74" s="7" t="n"/>
      <c r="E74" s="7" t="n"/>
      <c r="F74" s="7" t="n"/>
      <c r="G74" s="9" t="n"/>
      <c r="H74" s="8" t="n"/>
      <c r="I74" s="7" t="n"/>
    </row>
    <row r="75">
      <c r="A75" s="7" t="n"/>
      <c r="B75" s="8" t="n"/>
      <c r="C75" s="9" t="n"/>
      <c r="D75" s="7" t="n"/>
      <c r="E75" s="7" t="n"/>
      <c r="F75" s="7" t="n"/>
      <c r="G75" s="9" t="n"/>
      <c r="H75" s="8" t="n"/>
      <c r="I75" s="7" t="n"/>
    </row>
    <row r="76">
      <c r="A76" s="7" t="n"/>
      <c r="B76" s="8" t="n"/>
      <c r="C76" s="9" t="n"/>
      <c r="D76" s="7" t="n"/>
      <c r="E76" s="7" t="n"/>
      <c r="F76" s="7" t="n"/>
      <c r="G76" s="9" t="n"/>
      <c r="H76" s="8" t="n"/>
      <c r="I76" s="7" t="n"/>
    </row>
    <row r="77">
      <c r="A77" s="7" t="n"/>
      <c r="B77" s="8" t="n"/>
      <c r="C77" s="9" t="n"/>
      <c r="D77" s="7" t="n"/>
      <c r="E77" s="7" t="n"/>
      <c r="F77" s="7" t="n"/>
      <c r="G77" s="9" t="n"/>
      <c r="H77" s="8" t="n"/>
      <c r="I77" s="7" t="n"/>
    </row>
    <row r="78">
      <c r="A78" s="7" t="n"/>
      <c r="B78" s="8" t="n"/>
      <c r="C78" s="9" t="n"/>
      <c r="D78" s="7" t="n"/>
      <c r="E78" s="7" t="n"/>
      <c r="F78" s="7" t="n"/>
      <c r="G78" s="9" t="n"/>
      <c r="H78" s="8" t="n"/>
      <c r="I78" s="7" t="n"/>
    </row>
    <row r="79">
      <c r="A79" s="7" t="n"/>
      <c r="B79" s="8" t="n"/>
      <c r="C79" s="9" t="n"/>
      <c r="D79" s="7" t="n"/>
      <c r="E79" s="7" t="n"/>
      <c r="F79" s="7" t="n"/>
      <c r="G79" s="9" t="n"/>
      <c r="H79" s="8" t="n"/>
      <c r="I79" s="7" t="n"/>
    </row>
    <row r="80">
      <c r="A80" s="7" t="n"/>
      <c r="B80" s="8" t="n"/>
      <c r="C80" s="9" t="n"/>
      <c r="D80" s="7" t="n"/>
      <c r="E80" s="7" t="n"/>
      <c r="F80" s="7" t="n"/>
      <c r="G80" s="9" t="n"/>
      <c r="H80" s="8" t="n"/>
      <c r="I80" s="7" t="n"/>
    </row>
    <row r="81">
      <c r="A81" s="7" t="n"/>
      <c r="B81" s="8" t="n"/>
      <c r="C81" s="9" t="n"/>
      <c r="D81" s="7" t="n"/>
      <c r="E81" s="7" t="n"/>
      <c r="F81" s="7" t="n"/>
      <c r="G81" s="9" t="n"/>
      <c r="H81" s="8" t="n"/>
      <c r="I81" s="7" t="n"/>
    </row>
    <row r="82">
      <c r="A82" s="7" t="n"/>
      <c r="B82" s="8" t="n"/>
      <c r="C82" s="9" t="n"/>
      <c r="D82" s="7" t="n"/>
      <c r="E82" s="7" t="n"/>
      <c r="F82" s="7" t="n"/>
      <c r="G82" s="9" t="n"/>
      <c r="H82" s="8" t="n"/>
      <c r="I82" s="7" t="n"/>
    </row>
    <row r="83">
      <c r="A83" s="7" t="n"/>
      <c r="B83" s="8" t="n"/>
      <c r="C83" s="9" t="n"/>
      <c r="D83" s="7" t="n"/>
      <c r="E83" s="7" t="n"/>
      <c r="F83" s="7" t="n"/>
      <c r="G83" s="9" t="n"/>
      <c r="H83" s="8" t="n"/>
      <c r="I83" s="7" t="n"/>
    </row>
    <row r="84">
      <c r="A84" s="7" t="n"/>
      <c r="B84" s="8" t="n"/>
      <c r="C84" s="9" t="n"/>
      <c r="D84" s="7" t="n"/>
      <c r="E84" s="7" t="n"/>
      <c r="F84" s="7" t="n"/>
      <c r="G84" s="9" t="n"/>
      <c r="H84" s="8" t="n"/>
      <c r="I84" s="7" t="n"/>
    </row>
    <row r="85">
      <c r="A85" s="7" t="n"/>
      <c r="B85" s="8" t="n"/>
      <c r="C85" s="9" t="n"/>
      <c r="D85" s="7" t="n"/>
      <c r="E85" s="7" t="n"/>
      <c r="F85" s="7" t="n"/>
      <c r="G85" s="9" t="n"/>
      <c r="H85" s="8" t="n"/>
      <c r="I85" s="7" t="n"/>
    </row>
    <row r="86">
      <c r="A86" s="7" t="n"/>
      <c r="B86" s="8" t="n"/>
      <c r="C86" s="9" t="n"/>
      <c r="D86" s="7" t="n"/>
      <c r="E86" s="7" t="n"/>
      <c r="F86" s="7" t="n"/>
      <c r="G86" s="9" t="n"/>
      <c r="H86" s="8" t="n"/>
      <c r="I86" s="7" t="n"/>
    </row>
    <row r="87">
      <c r="A87" s="7" t="n"/>
      <c r="B87" s="8" t="n"/>
      <c r="C87" s="9" t="n"/>
      <c r="D87" s="7" t="n"/>
      <c r="E87" s="7" t="n"/>
      <c r="F87" s="7" t="n"/>
      <c r="G87" s="9" t="n"/>
      <c r="H87" s="8" t="n"/>
      <c r="I87" s="7" t="n"/>
    </row>
    <row r="88">
      <c r="A88" s="7" t="n"/>
      <c r="B88" s="8" t="n"/>
      <c r="C88" s="9" t="n"/>
      <c r="D88" s="7" t="n"/>
      <c r="E88" s="7" t="n"/>
      <c r="F88" s="7" t="n"/>
      <c r="G88" s="9" t="n"/>
      <c r="H88" s="8" t="n"/>
      <c r="I88" s="7" t="n"/>
    </row>
    <row r="89">
      <c r="A89" s="7" t="n"/>
      <c r="B89" s="8" t="n"/>
      <c r="C89" s="9" t="n"/>
      <c r="D89" s="7" t="n"/>
      <c r="E89" s="7" t="n"/>
      <c r="F89" s="7" t="n"/>
      <c r="G89" s="9" t="n"/>
      <c r="H89" s="8" t="n"/>
      <c r="I89" s="7" t="n"/>
    </row>
    <row r="90">
      <c r="A90" s="7" t="n"/>
      <c r="B90" s="8" t="n"/>
      <c r="C90" s="9" t="n"/>
      <c r="D90" s="7" t="n"/>
      <c r="E90" s="7" t="n"/>
      <c r="F90" s="7" t="n"/>
      <c r="G90" s="9" t="n"/>
      <c r="H90" s="8" t="n"/>
      <c r="I90" s="7" t="n"/>
    </row>
    <row r="91">
      <c r="A91" s="7" t="n"/>
      <c r="B91" s="8" t="n"/>
      <c r="C91" s="9" t="n"/>
      <c r="D91" s="7" t="n"/>
      <c r="E91" s="7" t="n"/>
      <c r="F91" s="7" t="n"/>
      <c r="G91" s="9" t="n"/>
      <c r="H91" s="8" t="n"/>
      <c r="I91" s="7" t="n"/>
    </row>
    <row r="92">
      <c r="A92" s="7" t="n"/>
      <c r="B92" s="8" t="n"/>
      <c r="C92" s="9" t="n"/>
      <c r="D92" s="7" t="n"/>
      <c r="E92" s="7" t="n"/>
      <c r="F92" s="7" t="n"/>
      <c r="G92" s="9" t="n"/>
      <c r="H92" s="8" t="n"/>
      <c r="I92" s="7" t="n"/>
    </row>
    <row r="93">
      <c r="A93" s="7" t="n"/>
      <c r="B93" s="8" t="n"/>
      <c r="C93" s="9" t="n"/>
      <c r="D93" s="7" t="n"/>
      <c r="E93" s="7" t="n"/>
      <c r="F93" s="7" t="n"/>
      <c r="G93" s="9" t="n"/>
      <c r="H93" s="8" t="n"/>
      <c r="I93" s="7" t="n"/>
    </row>
    <row r="94">
      <c r="A94" s="7" t="n"/>
      <c r="B94" s="8" t="n"/>
      <c r="C94" s="9" t="n"/>
      <c r="D94" s="7" t="n"/>
      <c r="E94" s="7" t="n"/>
      <c r="F94" s="7" t="n"/>
      <c r="G94" s="9" t="n"/>
      <c r="H94" s="8" t="n"/>
      <c r="I94" s="7" t="n"/>
    </row>
    <row r="95">
      <c r="A95" s="7" t="n"/>
      <c r="B95" s="8" t="n"/>
      <c r="C95" s="9" t="n"/>
      <c r="D95" s="7" t="n"/>
      <c r="E95" s="7" t="n"/>
      <c r="F95" s="7" t="n"/>
      <c r="G95" s="9" t="n"/>
      <c r="H95" s="8" t="n"/>
      <c r="I95" s="7" t="n"/>
    </row>
    <row r="96">
      <c r="A96" s="7" t="n"/>
      <c r="B96" s="8" t="n"/>
      <c r="C96" s="9" t="n"/>
      <c r="D96" s="7" t="n"/>
      <c r="E96" s="7" t="n"/>
      <c r="F96" s="7" t="n"/>
      <c r="G96" s="9" t="n"/>
      <c r="H96" s="8" t="n"/>
      <c r="I96" s="7" t="n"/>
    </row>
    <row r="97">
      <c r="A97" s="7" t="n"/>
      <c r="B97" s="8" t="n"/>
      <c r="C97" s="9" t="n"/>
      <c r="D97" s="7" t="n"/>
      <c r="E97" s="7" t="n"/>
      <c r="F97" s="7" t="n"/>
      <c r="G97" s="9" t="n"/>
      <c r="H97" s="8" t="n"/>
      <c r="I97" s="7" t="n"/>
    </row>
    <row r="98">
      <c r="A98" s="7" t="n"/>
      <c r="B98" s="8" t="n"/>
      <c r="C98" s="9" t="n"/>
      <c r="D98" s="7" t="n"/>
      <c r="E98" s="7" t="n"/>
      <c r="F98" s="7" t="n"/>
      <c r="G98" s="9" t="n"/>
      <c r="H98" s="8" t="n"/>
      <c r="I98" s="7" t="n"/>
    </row>
    <row r="99">
      <c r="A99" s="7" t="n"/>
      <c r="B99" s="8" t="n"/>
      <c r="C99" s="9" t="n"/>
      <c r="D99" s="7" t="n"/>
      <c r="E99" s="7" t="n"/>
      <c r="F99" s="7" t="n"/>
      <c r="G99" s="9" t="n"/>
      <c r="H99" s="8" t="n"/>
      <c r="I99" s="7" t="n"/>
    </row>
    <row r="100">
      <c r="A100" s="7" t="n"/>
      <c r="B100" s="8" t="n"/>
      <c r="C100" s="9" t="n"/>
      <c r="D100" s="7" t="n"/>
      <c r="E100" s="7" t="n"/>
      <c r="F100" s="7" t="n"/>
      <c r="G100" s="9" t="n"/>
      <c r="H100" s="8" t="n"/>
      <c r="I100" s="7" t="n"/>
    </row>
    <row r="101">
      <c r="A101" s="7" t="n"/>
      <c r="B101" s="8" t="n"/>
      <c r="C101" s="9" t="n"/>
      <c r="D101" s="7" t="n"/>
      <c r="E101" s="7" t="n"/>
      <c r="F101" s="7" t="n"/>
      <c r="G101" s="9" t="n"/>
      <c r="H101" s="8" t="n"/>
      <c r="I101" s="7" t="n"/>
    </row>
    <row r="102">
      <c r="A102" s="7" t="n"/>
      <c r="B102" s="8" t="n"/>
      <c r="C102" s="9" t="n"/>
      <c r="D102" s="7" t="n"/>
      <c r="E102" s="7" t="n"/>
      <c r="F102" s="7" t="n"/>
      <c r="G102" s="9" t="n"/>
      <c r="H102" s="8" t="n"/>
      <c r="I102" s="7" t="n"/>
    </row>
    <row r="103">
      <c r="A103" s="7" t="n"/>
      <c r="B103" s="8" t="n"/>
      <c r="C103" s="9" t="n"/>
      <c r="D103" s="7" t="n"/>
      <c r="E103" s="7" t="n"/>
      <c r="F103" s="7" t="n"/>
      <c r="G103" s="9" t="n"/>
      <c r="H103" s="8" t="n"/>
      <c r="I103" s="7" t="n"/>
    </row>
    <row r="104">
      <c r="A104" s="7" t="n"/>
      <c r="B104" s="8" t="n"/>
      <c r="C104" s="9" t="n"/>
      <c r="D104" s="7" t="n"/>
      <c r="E104" s="7" t="n"/>
      <c r="F104" s="7" t="n"/>
      <c r="G104" s="9" t="n"/>
      <c r="H104" s="8" t="n"/>
      <c r="I104" s="7" t="n"/>
    </row>
    <row r="105">
      <c r="A105" s="7" t="n"/>
      <c r="B105" s="8" t="n"/>
      <c r="C105" s="9" t="n"/>
      <c r="D105" s="7" t="n"/>
      <c r="E105" s="7" t="n"/>
      <c r="F105" s="7" t="n"/>
      <c r="G105" s="9" t="n"/>
      <c r="H105" s="8" t="n"/>
      <c r="I105" s="7" t="n"/>
    </row>
    <row r="106">
      <c r="A106" s="7" t="n"/>
      <c r="B106" s="8" t="n"/>
      <c r="C106" s="9" t="n"/>
      <c r="D106" s="7" t="n"/>
      <c r="E106" s="7" t="n"/>
      <c r="F106" s="7" t="n"/>
      <c r="G106" s="9" t="n"/>
      <c r="H106" s="8" t="n"/>
      <c r="I106" s="7" t="n"/>
    </row>
    <row r="107">
      <c r="A107" s="7" t="n"/>
      <c r="B107" s="8" t="n"/>
      <c r="C107" s="9" t="n"/>
      <c r="D107" s="7" t="n"/>
      <c r="E107" s="7" t="n"/>
      <c r="F107" s="7" t="n"/>
      <c r="G107" s="9" t="n"/>
      <c r="H107" s="8" t="n"/>
      <c r="I107" s="7" t="n"/>
    </row>
    <row r="108">
      <c r="A108" s="7" t="n"/>
      <c r="B108" s="8" t="n"/>
      <c r="C108" s="9" t="n"/>
      <c r="D108" s="7" t="n"/>
      <c r="E108" s="7" t="n"/>
      <c r="F108" s="7" t="n"/>
      <c r="G108" s="9" t="n"/>
      <c r="H108" s="8" t="n"/>
      <c r="I108" s="7" t="n"/>
    </row>
    <row r="109">
      <c r="A109" s="7" t="n"/>
      <c r="B109" s="8" t="n"/>
      <c r="C109" s="9" t="n"/>
      <c r="D109" s="7" t="n"/>
      <c r="E109" s="7" t="n"/>
      <c r="F109" s="7" t="n"/>
      <c r="G109" s="9" t="n"/>
      <c r="H109" s="8" t="n"/>
      <c r="I109" s="7" t="n"/>
    </row>
    <row r="110">
      <c r="A110" s="7" t="n"/>
      <c r="B110" s="8" t="n"/>
      <c r="C110" s="9" t="n"/>
      <c r="D110" s="7" t="n"/>
      <c r="E110" s="7" t="n"/>
      <c r="F110" s="7" t="n"/>
      <c r="G110" s="9" t="n"/>
      <c r="H110" s="8" t="n"/>
      <c r="I110" s="7" t="n"/>
    </row>
    <row r="111">
      <c r="A111" s="7" t="n"/>
      <c r="B111" s="8" t="n"/>
      <c r="C111" s="9" t="n"/>
      <c r="D111" s="7" t="n"/>
      <c r="E111" s="7" t="n"/>
      <c r="F111" s="7" t="n"/>
      <c r="G111" s="9" t="n"/>
      <c r="H111" s="8" t="n"/>
      <c r="I111" s="7" t="n"/>
    </row>
    <row r="112">
      <c r="A112" s="7" t="n"/>
      <c r="B112" s="8" t="n"/>
      <c r="C112" s="9" t="n"/>
      <c r="D112" s="7" t="n"/>
      <c r="E112" s="7" t="n"/>
      <c r="F112" s="7" t="n"/>
      <c r="G112" s="9" t="n"/>
      <c r="H112" s="8" t="n"/>
      <c r="I112" s="7" t="n"/>
    </row>
    <row r="113">
      <c r="A113" s="7" t="n"/>
      <c r="B113" s="8" t="n"/>
      <c r="C113" s="9" t="n"/>
      <c r="D113" s="7" t="n"/>
      <c r="E113" s="7" t="n"/>
      <c r="F113" s="7" t="n"/>
      <c r="G113" s="9" t="n"/>
      <c r="H113" s="8" t="n"/>
      <c r="I113" s="7" t="n"/>
    </row>
    <row r="114">
      <c r="A114" s="7" t="n"/>
      <c r="B114" s="8" t="n"/>
      <c r="C114" s="9" t="n"/>
      <c r="D114" s="7" t="n"/>
      <c r="E114" s="7" t="n"/>
      <c r="F114" s="7" t="n"/>
      <c r="G114" s="9" t="n"/>
      <c r="H114" s="8" t="n"/>
      <c r="I114" s="7" t="n"/>
    </row>
    <row r="115">
      <c r="A115" s="7" t="n"/>
      <c r="B115" s="8" t="n"/>
      <c r="C115" s="9" t="n"/>
      <c r="D115" s="7" t="n"/>
      <c r="E115" s="7" t="n"/>
      <c r="F115" s="7" t="n"/>
      <c r="G115" s="9" t="n"/>
      <c r="H115" s="8" t="n"/>
      <c r="I115" s="7" t="n"/>
    </row>
    <row r="116">
      <c r="A116" s="7" t="n"/>
      <c r="B116" s="8" t="n"/>
      <c r="C116" s="9" t="n"/>
      <c r="D116" s="7" t="n"/>
      <c r="E116" s="7" t="n"/>
      <c r="F116" s="7" t="n"/>
      <c r="G116" s="9" t="n"/>
      <c r="H116" s="8" t="n"/>
      <c r="I116" s="7" t="n"/>
    </row>
    <row r="117">
      <c r="A117" s="7" t="n"/>
      <c r="B117" s="8" t="n"/>
      <c r="C117" s="9" t="n"/>
      <c r="D117" s="7" t="n"/>
      <c r="E117" s="7" t="n"/>
      <c r="F117" s="7" t="n"/>
      <c r="G117" s="9" t="n"/>
      <c r="H117" s="8" t="n"/>
      <c r="I117" s="7" t="n"/>
    </row>
    <row r="118">
      <c r="A118" s="7" t="n"/>
      <c r="B118" s="8" t="n"/>
      <c r="C118" s="9" t="n"/>
      <c r="D118" s="7" t="n"/>
      <c r="E118" s="7" t="n"/>
      <c r="F118" s="7" t="n"/>
      <c r="G118" s="9" t="n"/>
      <c r="H118" s="8" t="n"/>
      <c r="I118" s="7" t="n"/>
    </row>
    <row r="119">
      <c r="A119" s="7" t="n"/>
      <c r="B119" s="8" t="n"/>
      <c r="C119" s="9" t="n"/>
      <c r="D119" s="7" t="n"/>
      <c r="E119" s="7" t="n"/>
      <c r="F119" s="7" t="n"/>
      <c r="G119" s="9" t="n"/>
      <c r="H119" s="8" t="n"/>
      <c r="I119" s="7" t="n"/>
    </row>
    <row r="120">
      <c r="A120" s="7" t="n"/>
      <c r="B120" s="8" t="n"/>
      <c r="C120" s="9" t="n"/>
      <c r="D120" s="7" t="n"/>
      <c r="E120" s="7" t="n"/>
      <c r="F120" s="7" t="n"/>
      <c r="G120" s="9" t="n"/>
      <c r="H120" s="8" t="n"/>
      <c r="I120" s="7" t="n"/>
    </row>
    <row r="121">
      <c r="A121" s="7" t="n"/>
      <c r="B121" s="8" t="n"/>
      <c r="C121" s="9" t="n"/>
      <c r="D121" s="7" t="n"/>
      <c r="E121" s="7" t="n"/>
      <c r="F121" s="7" t="n"/>
      <c r="G121" s="9" t="n"/>
      <c r="H121" s="8" t="n"/>
      <c r="I121" s="7" t="n"/>
    </row>
    <row r="122">
      <c r="A122" s="7" t="n"/>
      <c r="B122" s="8" t="n"/>
      <c r="C122" s="9" t="n"/>
      <c r="D122" s="7" t="n"/>
      <c r="E122" s="7" t="n"/>
      <c r="F122" s="7" t="n"/>
      <c r="G122" s="9" t="n"/>
      <c r="H122" s="8" t="n"/>
      <c r="I122" s="7" t="n"/>
    </row>
    <row r="123">
      <c r="A123" s="7" t="n"/>
      <c r="B123" s="8" t="n"/>
      <c r="C123" s="9" t="n"/>
      <c r="D123" s="7" t="n"/>
      <c r="E123" s="7" t="n"/>
      <c r="F123" s="7" t="n"/>
      <c r="G123" s="9" t="n"/>
      <c r="H123" s="8" t="n"/>
      <c r="I123" s="7" t="n"/>
    </row>
    <row r="124">
      <c r="A124" s="7" t="n"/>
      <c r="B124" s="8" t="n"/>
      <c r="C124" s="9" t="n"/>
      <c r="D124" s="7" t="n"/>
      <c r="E124" s="7" t="n"/>
      <c r="F124" s="7" t="n"/>
      <c r="G124" s="9" t="n"/>
      <c r="H124" s="8" t="n"/>
      <c r="I124" s="7" t="n"/>
    </row>
    <row r="125">
      <c r="A125" s="7" t="n"/>
      <c r="B125" s="8" t="n"/>
      <c r="C125" s="9" t="n"/>
      <c r="D125" s="7" t="n"/>
      <c r="E125" s="7" t="n"/>
      <c r="F125" s="7" t="n"/>
      <c r="G125" s="9" t="n"/>
      <c r="H125" s="8" t="n"/>
      <c r="I125" s="7" t="n"/>
    </row>
    <row r="126">
      <c r="A126" s="7" t="n"/>
      <c r="B126" s="8" t="n"/>
      <c r="C126" s="9" t="n"/>
      <c r="D126" s="7" t="n"/>
      <c r="E126" s="7" t="n"/>
      <c r="F126" s="7" t="n"/>
      <c r="G126" s="9" t="n"/>
      <c r="H126" s="8" t="n"/>
      <c r="I126" s="7" t="n"/>
    </row>
    <row r="127">
      <c r="A127" s="7" t="n"/>
      <c r="B127" s="8" t="n"/>
      <c r="C127" s="9" t="n"/>
      <c r="D127" s="7" t="n"/>
      <c r="E127" s="7" t="n"/>
      <c r="F127" s="7" t="n"/>
      <c r="G127" s="9" t="n"/>
      <c r="H127" s="8" t="n"/>
      <c r="I127" s="7" t="n"/>
    </row>
    <row r="128">
      <c r="A128" s="7" t="n"/>
      <c r="B128" s="8" t="n"/>
      <c r="C128" s="9" t="n"/>
      <c r="D128" s="7" t="n"/>
      <c r="E128" s="7" t="n"/>
      <c r="F128" s="7" t="n"/>
      <c r="G128" s="9" t="n"/>
      <c r="H128" s="8" t="n"/>
      <c r="I128" s="7" t="n"/>
    </row>
    <row r="129">
      <c r="A129" s="7" t="n"/>
      <c r="B129" s="8" t="n"/>
      <c r="C129" s="9" t="n"/>
      <c r="D129" s="7" t="n"/>
      <c r="E129" s="7" t="n"/>
      <c r="F129" s="7" t="n"/>
      <c r="G129" s="9" t="n"/>
      <c r="H129" s="8" t="n"/>
      <c r="I129" s="7" t="n"/>
    </row>
    <row r="130">
      <c r="A130" s="7" t="n"/>
      <c r="B130" s="8" t="n"/>
      <c r="C130" s="9" t="n"/>
      <c r="D130" s="7" t="n"/>
      <c r="E130" s="7" t="n"/>
      <c r="F130" s="7" t="n"/>
      <c r="G130" s="9" t="n"/>
      <c r="H130" s="8" t="n"/>
      <c r="I130" s="7" t="n"/>
    </row>
    <row r="131">
      <c r="A131" s="7" t="n"/>
      <c r="B131" s="8" t="n"/>
      <c r="C131" s="9" t="n"/>
      <c r="D131" s="7" t="n"/>
      <c r="E131" s="7" t="n"/>
      <c r="F131" s="7" t="n"/>
      <c r="G131" s="9" t="n"/>
      <c r="H131" s="8" t="n"/>
      <c r="I131" s="7" t="n"/>
    </row>
    <row r="132">
      <c r="A132" s="7" t="n"/>
      <c r="B132" s="8" t="n"/>
      <c r="C132" s="9" t="n"/>
      <c r="D132" s="7" t="n"/>
      <c r="E132" s="7" t="n"/>
      <c r="F132" s="7" t="n"/>
      <c r="G132" s="9" t="n"/>
      <c r="H132" s="8" t="n"/>
      <c r="I132" s="7" t="n"/>
    </row>
    <row r="133">
      <c r="A133" s="7" t="n"/>
      <c r="B133" s="8" t="n"/>
      <c r="C133" s="9" t="n"/>
      <c r="D133" s="7" t="n"/>
      <c r="E133" s="7" t="n"/>
      <c r="F133" s="7" t="n"/>
      <c r="G133" s="9" t="n"/>
      <c r="H133" s="8" t="n"/>
      <c r="I133" s="7" t="n"/>
    </row>
    <row r="134">
      <c r="A134" s="7" t="n"/>
      <c r="B134" s="8" t="n"/>
      <c r="C134" s="9" t="n"/>
      <c r="D134" s="7" t="n"/>
      <c r="E134" s="7" t="n"/>
      <c r="F134" s="7" t="n"/>
      <c r="G134" s="9" t="n"/>
      <c r="H134" s="8" t="n"/>
      <c r="I134" s="7" t="n"/>
    </row>
    <row r="135">
      <c r="A135" s="7" t="n"/>
      <c r="B135" s="8" t="n"/>
      <c r="C135" s="9" t="n"/>
      <c r="D135" s="7" t="n"/>
      <c r="E135" s="7" t="n"/>
      <c r="F135" s="7" t="n"/>
      <c r="G135" s="9" t="n"/>
      <c r="H135" s="8" t="n"/>
      <c r="I135" s="7" t="n"/>
    </row>
    <row r="136">
      <c r="A136" s="7" t="n"/>
      <c r="B136" s="8" t="n"/>
      <c r="C136" s="9" t="n"/>
      <c r="D136" s="7" t="n"/>
      <c r="E136" s="7" t="n"/>
      <c r="F136" s="7" t="n"/>
      <c r="G136" s="9" t="n"/>
      <c r="H136" s="8" t="n"/>
      <c r="I136" s="7" t="n"/>
    </row>
    <row r="137">
      <c r="A137" s="7" t="n"/>
      <c r="B137" s="8" t="n"/>
      <c r="C137" s="9" t="n"/>
      <c r="D137" s="7" t="n"/>
      <c r="E137" s="7" t="n"/>
      <c r="F137" s="7" t="n"/>
      <c r="G137" s="9" t="n"/>
      <c r="H137" s="8" t="n"/>
      <c r="I137" s="7" t="n"/>
    </row>
    <row r="138">
      <c r="A138" s="7" t="n"/>
      <c r="B138" s="8" t="n"/>
      <c r="C138" s="9" t="n"/>
      <c r="D138" s="7" t="n"/>
      <c r="E138" s="7" t="n"/>
      <c r="F138" s="7" t="n"/>
      <c r="G138" s="9" t="n"/>
      <c r="H138" s="8" t="n"/>
      <c r="I138" s="7" t="n"/>
    </row>
    <row r="139">
      <c r="A139" s="7" t="n"/>
      <c r="B139" s="8" t="n"/>
      <c r="C139" s="9" t="n"/>
      <c r="D139" s="7" t="n"/>
      <c r="E139" s="7" t="n"/>
      <c r="F139" s="7" t="n"/>
      <c r="G139" s="9" t="n"/>
      <c r="H139" s="8" t="n"/>
      <c r="I139" s="7" t="n"/>
    </row>
    <row r="140">
      <c r="A140" s="7" t="n"/>
      <c r="B140" s="8" t="n"/>
      <c r="C140" s="9" t="n"/>
      <c r="D140" s="7" t="n"/>
      <c r="E140" s="7" t="n"/>
      <c r="F140" s="7" t="n"/>
      <c r="G140" s="9" t="n"/>
      <c r="H140" s="8" t="n"/>
      <c r="I140" s="7" t="n"/>
    </row>
    <row r="141">
      <c r="A141" s="7" t="n"/>
      <c r="B141" s="8" t="n"/>
      <c r="C141" s="9" t="n"/>
      <c r="D141" s="7" t="n"/>
      <c r="E141" s="7" t="n"/>
      <c r="F141" s="7" t="n"/>
      <c r="G141" s="9" t="n"/>
      <c r="H141" s="8" t="n"/>
      <c r="I141" s="7" t="n"/>
    </row>
    <row r="142">
      <c r="A142" s="7" t="n"/>
      <c r="B142" s="8" t="n"/>
      <c r="C142" s="9" t="n"/>
      <c r="D142" s="7" t="n"/>
      <c r="E142" s="7" t="n"/>
      <c r="F142" s="7" t="n"/>
      <c r="G142" s="9" t="n"/>
      <c r="H142" s="8" t="n"/>
      <c r="I142" s="7" t="n"/>
    </row>
    <row r="143">
      <c r="A143" s="7" t="n"/>
      <c r="B143" s="8" t="n"/>
      <c r="C143" s="9" t="n"/>
      <c r="D143" s="7" t="n"/>
      <c r="E143" s="7" t="n"/>
      <c r="F143" s="7" t="n"/>
      <c r="G143" s="9" t="n"/>
      <c r="H143" s="8" t="n"/>
      <c r="I143" s="7" t="n"/>
    </row>
    <row r="144">
      <c r="A144" s="7" t="n"/>
      <c r="B144" s="8" t="n"/>
      <c r="C144" s="9" t="n"/>
      <c r="D144" s="7" t="n"/>
      <c r="E144" s="7" t="n"/>
      <c r="F144" s="7" t="n"/>
      <c r="G144" s="9" t="n"/>
      <c r="H144" s="8" t="n"/>
      <c r="I144" s="7" t="n"/>
    </row>
    <row r="145">
      <c r="A145" s="7" t="n"/>
      <c r="B145" s="8" t="n"/>
      <c r="C145" s="9" t="n"/>
      <c r="D145" s="7" t="n"/>
      <c r="E145" s="7" t="n"/>
      <c r="F145" s="7" t="n"/>
      <c r="G145" s="9" t="n"/>
      <c r="H145" s="8" t="n"/>
      <c r="I145" s="7" t="n"/>
    </row>
    <row r="146">
      <c r="A146" s="7" t="n"/>
      <c r="B146" s="8" t="n"/>
      <c r="C146" s="9" t="n"/>
      <c r="D146" s="7" t="n"/>
      <c r="E146" s="7" t="n"/>
      <c r="F146" s="7" t="n"/>
      <c r="G146" s="9" t="n"/>
      <c r="H146" s="8" t="n"/>
      <c r="I146" s="7" t="n"/>
    </row>
    <row r="147">
      <c r="A147" s="7" t="n"/>
      <c r="B147" s="8" t="n"/>
      <c r="C147" s="9" t="n"/>
      <c r="D147" s="7" t="n"/>
      <c r="E147" s="7" t="n"/>
      <c r="F147" s="7" t="n"/>
      <c r="G147" s="9" t="n"/>
      <c r="H147" s="8" t="n"/>
      <c r="I147" s="7" t="n"/>
    </row>
    <row r="148">
      <c r="A148" s="7" t="n"/>
      <c r="B148" s="8" t="n"/>
      <c r="C148" s="9" t="n"/>
      <c r="D148" s="7" t="n"/>
      <c r="E148" s="7" t="n"/>
      <c r="F148" s="7" t="n"/>
      <c r="G148" s="9" t="n"/>
      <c r="H148" s="8" t="n"/>
      <c r="I148" s="7" t="n"/>
    </row>
    <row r="149">
      <c r="A149" s="7" t="n"/>
      <c r="B149" s="8" t="n"/>
      <c r="C149" s="9" t="n"/>
      <c r="D149" s="7" t="n"/>
      <c r="E149" s="7" t="n"/>
      <c r="F149" s="7" t="n"/>
      <c r="G149" s="9" t="n"/>
      <c r="H149" s="8" t="n"/>
      <c r="I149" s="7" t="n"/>
    </row>
    <row r="150">
      <c r="A150" s="7" t="n"/>
      <c r="B150" s="8" t="n"/>
      <c r="C150" s="9" t="n"/>
      <c r="D150" s="7" t="n"/>
      <c r="E150" s="7" t="n"/>
      <c r="F150" s="7" t="n"/>
      <c r="G150" s="9" t="n"/>
      <c r="H150" s="8" t="n"/>
      <c r="I150" s="7" t="n"/>
    </row>
    <row r="151">
      <c r="A151" s="7" t="n"/>
      <c r="B151" s="8" t="n"/>
      <c r="C151" s="9" t="n"/>
      <c r="D151" s="7" t="n"/>
      <c r="E151" s="7" t="n"/>
      <c r="F151" s="7" t="n"/>
      <c r="G151" s="9" t="n"/>
      <c r="H151" s="8" t="n"/>
      <c r="I151" s="7" t="n"/>
    </row>
    <row r="152">
      <c r="A152" s="7" t="n"/>
      <c r="B152" s="8" t="n"/>
      <c r="C152" s="9" t="n"/>
      <c r="D152" s="7" t="n"/>
      <c r="E152" s="7" t="n"/>
      <c r="F152" s="7" t="n"/>
      <c r="G152" s="9" t="n"/>
      <c r="H152" s="8" t="n"/>
      <c r="I152" s="7" t="n"/>
    </row>
    <row r="153">
      <c r="A153" s="7" t="n"/>
      <c r="B153" s="8" t="n"/>
      <c r="C153" s="9" t="n"/>
      <c r="D153" s="7" t="n"/>
      <c r="E153" s="7" t="n"/>
      <c r="F153" s="7" t="n"/>
      <c r="G153" s="9" t="n"/>
      <c r="H153" s="8" t="n"/>
      <c r="I153" s="7" t="n"/>
    </row>
    <row r="154">
      <c r="A154" s="7" t="n"/>
      <c r="B154" s="8" t="n"/>
      <c r="C154" s="9" t="n"/>
      <c r="D154" s="7" t="n"/>
      <c r="E154" s="7" t="n"/>
      <c r="F154" s="7" t="n"/>
      <c r="G154" s="9" t="n"/>
      <c r="H154" s="8" t="n"/>
      <c r="I154" s="7" t="n"/>
    </row>
    <row r="155">
      <c r="A155" s="7" t="n"/>
      <c r="B155" s="8" t="n"/>
      <c r="C155" s="9" t="n"/>
      <c r="D155" s="7" t="n"/>
      <c r="E155" s="7" t="n"/>
      <c r="F155" s="7" t="n"/>
      <c r="G155" s="9" t="n"/>
      <c r="H155" s="8" t="n"/>
      <c r="I155" s="7" t="n"/>
    </row>
    <row r="156">
      <c r="A156" s="7" t="n"/>
      <c r="B156" s="8" t="n"/>
      <c r="C156" s="9" t="n"/>
      <c r="D156" s="7" t="n"/>
      <c r="E156" s="7" t="n"/>
      <c r="F156" s="7" t="n"/>
      <c r="G156" s="9" t="n"/>
      <c r="H156" s="8" t="n"/>
      <c r="I156" s="7" t="n"/>
    </row>
    <row r="157">
      <c r="A157" s="7" t="n"/>
      <c r="B157" s="8" t="n"/>
      <c r="C157" s="9" t="n"/>
      <c r="D157" s="7" t="n"/>
      <c r="E157" s="7" t="n"/>
      <c r="F157" s="7" t="n"/>
      <c r="G157" s="9" t="n"/>
      <c r="H157" s="8" t="n"/>
      <c r="I157" s="7" t="n"/>
    </row>
    <row r="158">
      <c r="A158" s="7" t="n"/>
      <c r="B158" s="8" t="n"/>
      <c r="C158" s="9" t="n"/>
      <c r="D158" s="7" t="n"/>
      <c r="E158" s="7" t="n"/>
      <c r="F158" s="7" t="n"/>
      <c r="G158" s="9" t="n"/>
      <c r="H158" s="8" t="n"/>
      <c r="I158" s="7" t="n"/>
    </row>
    <row r="159">
      <c r="A159" s="7" t="n"/>
      <c r="B159" s="8" t="n"/>
      <c r="C159" s="9" t="n"/>
      <c r="D159" s="7" t="n"/>
      <c r="E159" s="7" t="n"/>
      <c r="F159" s="7" t="n"/>
      <c r="G159" s="9" t="n"/>
      <c r="H159" s="8" t="n"/>
      <c r="I159" s="7" t="n"/>
    </row>
    <row r="160">
      <c r="A160" s="7" t="n"/>
      <c r="B160" s="8" t="n"/>
      <c r="C160" s="9" t="n"/>
      <c r="D160" s="7" t="n"/>
      <c r="E160" s="7" t="n"/>
      <c r="F160" s="7" t="n"/>
      <c r="G160" s="9" t="n"/>
      <c r="H160" s="8" t="n"/>
      <c r="I160" s="7" t="n"/>
    </row>
    <row r="161">
      <c r="A161" s="7" t="n"/>
      <c r="B161" s="8" t="n"/>
      <c r="C161" s="9" t="n"/>
      <c r="D161" s="7" t="n"/>
      <c r="E161" s="7" t="n"/>
      <c r="F161" s="7" t="n"/>
      <c r="G161" s="9" t="n"/>
      <c r="H161" s="8" t="n"/>
      <c r="I161" s="7" t="n"/>
    </row>
    <row r="162">
      <c r="A162" s="7" t="n"/>
      <c r="B162" s="8" t="n"/>
      <c r="C162" s="9" t="n"/>
      <c r="D162" s="7" t="n"/>
      <c r="E162" s="7" t="n"/>
      <c r="F162" s="7" t="n"/>
      <c r="G162" s="9" t="n"/>
      <c r="H162" s="8" t="n"/>
      <c r="I162" s="7" t="n"/>
    </row>
    <row r="163">
      <c r="A163" s="7" t="n"/>
      <c r="B163" s="8" t="n"/>
      <c r="C163" s="9" t="n"/>
      <c r="D163" s="7" t="n"/>
      <c r="E163" s="7" t="n"/>
      <c r="F163" s="7" t="n"/>
      <c r="G163" s="9" t="n"/>
      <c r="H163" s="8" t="n"/>
      <c r="I163" s="7" t="n"/>
    </row>
    <row r="164">
      <c r="A164" s="7" t="n"/>
      <c r="B164" s="8" t="n"/>
      <c r="C164" s="9" t="n"/>
      <c r="D164" s="7" t="n"/>
      <c r="E164" s="7" t="n"/>
      <c r="F164" s="7" t="n"/>
      <c r="G164" s="9" t="n"/>
      <c r="H164" s="8" t="n"/>
      <c r="I164" s="7" t="n"/>
    </row>
    <row r="165">
      <c r="A165" s="7" t="n"/>
      <c r="B165" s="8" t="n"/>
      <c r="C165" s="9" t="n"/>
      <c r="D165" s="7" t="n"/>
      <c r="E165" s="7" t="n"/>
      <c r="F165" s="7" t="n"/>
      <c r="G165" s="9" t="n"/>
      <c r="H165" s="8" t="n"/>
      <c r="I165" s="7" t="n"/>
    </row>
    <row r="166">
      <c r="A166" s="7" t="n"/>
      <c r="B166" s="8" t="n"/>
      <c r="C166" s="9" t="n"/>
      <c r="D166" s="7" t="n"/>
      <c r="E166" s="7" t="n"/>
      <c r="F166" s="7" t="n"/>
      <c r="G166" s="9" t="n"/>
      <c r="H166" s="8" t="n"/>
      <c r="I166" s="7" t="n"/>
    </row>
    <row r="167">
      <c r="A167" s="7" t="n"/>
      <c r="B167" s="8" t="n"/>
      <c r="C167" s="9" t="n"/>
      <c r="D167" s="7" t="n"/>
      <c r="E167" s="7" t="n"/>
      <c r="F167" s="7" t="n"/>
      <c r="G167" s="9" t="n"/>
      <c r="H167" s="8" t="n"/>
      <c r="I167" s="7" t="n"/>
    </row>
    <row r="168">
      <c r="A168" s="7" t="n"/>
      <c r="B168" s="8" t="n"/>
      <c r="C168" s="9" t="n"/>
      <c r="D168" s="7" t="n"/>
      <c r="E168" s="7" t="n"/>
      <c r="F168" s="7" t="n"/>
      <c r="G168" s="9" t="n"/>
      <c r="H168" s="8" t="n"/>
      <c r="I168" s="7" t="n"/>
    </row>
    <row r="169">
      <c r="A169" s="7" t="n"/>
      <c r="B169" s="8" t="n"/>
      <c r="C169" s="9" t="n"/>
      <c r="D169" s="7" t="n"/>
      <c r="E169" s="7" t="n"/>
      <c r="F169" s="7" t="n"/>
      <c r="G169" s="9" t="n"/>
      <c r="H169" s="8" t="n"/>
      <c r="I169" s="7" t="n"/>
    </row>
    <row r="170">
      <c r="A170" s="7" t="n"/>
      <c r="B170" s="8" t="n"/>
      <c r="C170" s="9" t="n"/>
      <c r="D170" s="7" t="n"/>
      <c r="E170" s="7" t="n"/>
      <c r="F170" s="7" t="n"/>
      <c r="G170" s="9" t="n"/>
      <c r="H170" s="8" t="n"/>
      <c r="I170" s="7" t="n"/>
    </row>
    <row r="171">
      <c r="A171" s="7" t="n"/>
      <c r="B171" s="8" t="n"/>
      <c r="C171" s="9" t="n"/>
      <c r="D171" s="7" t="n"/>
      <c r="E171" s="7" t="n"/>
      <c r="F171" s="7" t="n"/>
      <c r="G171" s="9" t="n"/>
      <c r="H171" s="8" t="n"/>
      <c r="I171" s="7" t="n"/>
    </row>
    <row r="172">
      <c r="A172" s="7" t="n"/>
      <c r="B172" s="8" t="n"/>
      <c r="C172" s="9" t="n"/>
      <c r="D172" s="7" t="n"/>
      <c r="E172" s="7" t="n"/>
      <c r="F172" s="7" t="n"/>
      <c r="G172" s="9" t="n"/>
      <c r="H172" s="8" t="n"/>
      <c r="I172" s="7" t="n"/>
    </row>
    <row r="173">
      <c r="A173" s="7" t="n"/>
      <c r="B173" s="8" t="n"/>
      <c r="C173" s="9" t="n"/>
      <c r="D173" s="7" t="n"/>
      <c r="E173" s="7" t="n"/>
      <c r="F173" s="7" t="n"/>
      <c r="G173" s="9" t="n"/>
      <c r="H173" s="8" t="n"/>
      <c r="I173" s="7" t="n"/>
    </row>
    <row r="174">
      <c r="A174" s="7" t="n"/>
      <c r="B174" s="8" t="n"/>
      <c r="C174" s="9" t="n"/>
      <c r="D174" s="7" t="n"/>
      <c r="E174" s="7" t="n"/>
      <c r="F174" s="7" t="n"/>
      <c r="G174" s="9" t="n"/>
      <c r="H174" s="8" t="n"/>
      <c r="I174" s="7" t="n"/>
    </row>
    <row r="175">
      <c r="A175" s="7" t="n"/>
      <c r="B175" s="8" t="n"/>
      <c r="C175" s="9" t="n"/>
      <c r="D175" s="7" t="n"/>
      <c r="E175" s="7" t="n"/>
      <c r="F175" s="7" t="n"/>
      <c r="G175" s="9" t="n"/>
      <c r="H175" s="8" t="n"/>
      <c r="I175" s="7" t="n"/>
    </row>
    <row r="176">
      <c r="A176" s="7" t="n"/>
      <c r="B176" s="8" t="n"/>
      <c r="C176" s="9" t="n"/>
      <c r="D176" s="7" t="n"/>
      <c r="E176" s="7" t="n"/>
      <c r="F176" s="7" t="n"/>
      <c r="G176" s="9" t="n"/>
      <c r="H176" s="8" t="n"/>
      <c r="I176" s="7" t="n"/>
    </row>
    <row r="177">
      <c r="A177" s="7" t="n"/>
      <c r="B177" s="8" t="n"/>
      <c r="C177" s="9" t="n"/>
      <c r="D177" s="7" t="n"/>
      <c r="E177" s="7" t="n"/>
      <c r="F177" s="7" t="n"/>
      <c r="G177" s="9" t="n"/>
      <c r="H177" s="8" t="n"/>
      <c r="I177" s="7" t="n"/>
    </row>
    <row r="178">
      <c r="A178" s="7" t="n"/>
      <c r="B178" s="8" t="n"/>
      <c r="C178" s="9" t="n"/>
      <c r="D178" s="7" t="n"/>
      <c r="E178" s="7" t="n"/>
      <c r="F178" s="7" t="n"/>
      <c r="G178" s="9" t="n"/>
      <c r="H178" s="8" t="n"/>
      <c r="I178" s="7" t="n"/>
    </row>
    <row r="179">
      <c r="A179" s="7" t="n"/>
      <c r="B179" s="8" t="n"/>
      <c r="C179" s="9" t="n"/>
      <c r="D179" s="7" t="n"/>
      <c r="E179" s="7" t="n"/>
      <c r="F179" s="7" t="n"/>
      <c r="G179" s="9" t="n"/>
      <c r="H179" s="8" t="n"/>
      <c r="I179" s="7" t="n"/>
    </row>
    <row r="180">
      <c r="A180" s="7" t="n"/>
      <c r="B180" s="8" t="n"/>
      <c r="C180" s="9" t="n"/>
      <c r="D180" s="7" t="n"/>
      <c r="E180" s="7" t="n"/>
      <c r="F180" s="7" t="n"/>
      <c r="G180" s="9" t="n"/>
      <c r="H180" s="8" t="n"/>
      <c r="I180" s="7" t="n"/>
    </row>
    <row r="181">
      <c r="A181" s="7" t="n"/>
      <c r="B181" s="8" t="n"/>
      <c r="C181" s="9" t="n"/>
      <c r="D181" s="7" t="n"/>
      <c r="E181" s="7" t="n"/>
      <c r="F181" s="7" t="n"/>
      <c r="G181" s="9" t="n"/>
      <c r="H181" s="8" t="n"/>
      <c r="I181" s="7" t="n"/>
    </row>
    <row r="182">
      <c r="A182" s="7" t="n"/>
      <c r="B182" s="8" t="n"/>
      <c r="C182" s="9" t="n"/>
      <c r="D182" s="7" t="n"/>
      <c r="E182" s="7" t="n"/>
      <c r="F182" s="7" t="n"/>
      <c r="G182" s="9" t="n"/>
      <c r="H182" s="8" t="n"/>
      <c r="I182" s="7" t="n"/>
    </row>
    <row r="183">
      <c r="A183" s="7" t="n"/>
      <c r="B183" s="8" t="n"/>
      <c r="C183" s="9" t="n"/>
      <c r="D183" s="7" t="n"/>
      <c r="E183" s="7" t="n"/>
      <c r="F183" s="7" t="n"/>
      <c r="G183" s="9" t="n"/>
      <c r="H183" s="8" t="n"/>
      <c r="I183" s="7" t="n"/>
    </row>
    <row r="184">
      <c r="A184" s="7" t="n"/>
      <c r="B184" s="8" t="n"/>
      <c r="C184" s="9" t="n"/>
      <c r="D184" s="7" t="n"/>
      <c r="E184" s="7" t="n"/>
      <c r="F184" s="7" t="n"/>
      <c r="G184" s="9" t="n"/>
      <c r="H184" s="8" t="n"/>
      <c r="I184" s="7" t="n"/>
    </row>
    <row r="185">
      <c r="A185" s="7" t="n"/>
      <c r="B185" s="8" t="n"/>
      <c r="C185" s="9" t="n"/>
      <c r="D185" s="7" t="n"/>
      <c r="E185" s="7" t="n"/>
      <c r="F185" s="7" t="n"/>
      <c r="G185" s="9" t="n"/>
      <c r="H185" s="8" t="n"/>
      <c r="I185" s="7" t="n"/>
    </row>
    <row r="186">
      <c r="A186" s="7" t="n"/>
      <c r="B186" s="8" t="n"/>
      <c r="C186" s="9" t="n"/>
      <c r="D186" s="7" t="n"/>
      <c r="E186" s="7" t="n"/>
      <c r="F186" s="7" t="n"/>
      <c r="G186" s="9" t="n"/>
      <c r="H186" s="8" t="n"/>
      <c r="I186" s="7" t="n"/>
    </row>
    <row r="187">
      <c r="A187" s="7" t="n"/>
      <c r="B187" s="8" t="n"/>
      <c r="C187" s="9" t="n"/>
      <c r="D187" s="7" t="n"/>
      <c r="E187" s="7" t="n"/>
      <c r="F187" s="7" t="n"/>
      <c r="G187" s="9" t="n"/>
      <c r="H187" s="8" t="n"/>
      <c r="I187" s="7" t="n"/>
    </row>
    <row r="188">
      <c r="A188" s="7" t="n"/>
      <c r="B188" s="8" t="n"/>
      <c r="C188" s="9" t="n"/>
      <c r="D188" s="7" t="n"/>
      <c r="E188" s="7" t="n"/>
      <c r="F188" s="7" t="n"/>
      <c r="G188" s="9" t="n"/>
      <c r="H188" s="8" t="n"/>
      <c r="I188" s="7" t="n"/>
    </row>
    <row r="189">
      <c r="A189" s="7" t="n"/>
      <c r="B189" s="8" t="n"/>
      <c r="C189" s="9" t="n"/>
      <c r="D189" s="7" t="n"/>
      <c r="E189" s="7" t="n"/>
      <c r="F189" s="7" t="n"/>
      <c r="G189" s="9" t="n"/>
      <c r="H189" s="8" t="n"/>
      <c r="I189" s="7" t="n"/>
    </row>
    <row r="190">
      <c r="A190" s="7" t="n"/>
      <c r="B190" s="8" t="n"/>
      <c r="C190" s="9" t="n"/>
      <c r="D190" s="7" t="n"/>
      <c r="E190" s="7" t="n"/>
      <c r="F190" s="7" t="n"/>
      <c r="G190" s="9" t="n"/>
      <c r="H190" s="8" t="n"/>
      <c r="I190" s="7" t="n"/>
    </row>
    <row r="191">
      <c r="A191" s="7" t="n"/>
      <c r="B191" s="8" t="n"/>
      <c r="C191" s="9" t="n"/>
      <c r="D191" s="7" t="n"/>
      <c r="E191" s="7" t="n"/>
      <c r="F191" s="7" t="n"/>
      <c r="G191" s="9" t="n"/>
      <c r="H191" s="8" t="n"/>
      <c r="I191" s="7" t="n"/>
    </row>
    <row r="192">
      <c r="A192" s="7" t="n"/>
      <c r="B192" s="8" t="n"/>
      <c r="C192" s="9" t="n"/>
      <c r="D192" s="7" t="n"/>
      <c r="E192" s="7" t="n"/>
      <c r="F192" s="7" t="n"/>
      <c r="G192" s="9" t="n"/>
      <c r="H192" s="8" t="n"/>
      <c r="I192" s="7" t="n"/>
    </row>
    <row r="193">
      <c r="A193" s="7" t="n"/>
      <c r="B193" s="8" t="n"/>
      <c r="C193" s="9" t="n"/>
      <c r="D193" s="7" t="n"/>
      <c r="E193" s="7" t="n"/>
      <c r="F193" s="7" t="n"/>
      <c r="G193" s="9" t="n"/>
      <c r="H193" s="8" t="n"/>
      <c r="I193" s="7" t="n"/>
    </row>
    <row r="194">
      <c r="A194" s="7" t="n"/>
      <c r="B194" s="8" t="n"/>
      <c r="C194" s="9" t="n"/>
      <c r="D194" s="7" t="n"/>
      <c r="E194" s="7" t="n"/>
      <c r="F194" s="7" t="n"/>
      <c r="G194" s="9" t="n"/>
      <c r="H194" s="8" t="n"/>
      <c r="I194" s="7" t="n"/>
    </row>
    <row r="195">
      <c r="A195" s="7" t="n"/>
      <c r="B195" s="8" t="n"/>
      <c r="C195" s="9" t="n"/>
      <c r="D195" s="7" t="n"/>
      <c r="E195" s="7" t="n"/>
      <c r="F195" s="7" t="n"/>
      <c r="G195" s="9" t="n"/>
      <c r="H195" s="8" t="n"/>
      <c r="I195" s="7" t="n"/>
    </row>
    <row r="196">
      <c r="A196" s="7" t="n"/>
      <c r="B196" s="8" t="n"/>
      <c r="C196" s="9" t="n"/>
      <c r="D196" s="7" t="n"/>
      <c r="E196" s="7" t="n"/>
      <c r="F196" s="7" t="n"/>
      <c r="G196" s="9" t="n"/>
      <c r="H196" s="8" t="n"/>
      <c r="I196" s="7" t="n"/>
    </row>
    <row r="197">
      <c r="A197" s="7" t="n"/>
      <c r="B197" s="8" t="n"/>
      <c r="C197" s="9" t="n"/>
      <c r="D197" s="7" t="n"/>
      <c r="E197" s="7" t="n"/>
      <c r="F197" s="7" t="n"/>
      <c r="G197" s="9" t="n"/>
      <c r="H197" s="8" t="n"/>
      <c r="I197" s="7" t="n"/>
    </row>
    <row r="198">
      <c r="A198" s="7" t="n"/>
      <c r="B198" s="8" t="n"/>
      <c r="C198" s="9" t="n"/>
      <c r="D198" s="7" t="n"/>
      <c r="E198" s="7" t="n"/>
      <c r="F198" s="7" t="n"/>
      <c r="G198" s="9" t="n"/>
      <c r="H198" s="8" t="n"/>
      <c r="I198" s="7" t="n"/>
    </row>
    <row r="199">
      <c r="A199" s="7" t="n"/>
      <c r="B199" s="8" t="n"/>
      <c r="C199" s="9" t="n"/>
      <c r="D199" s="7" t="n"/>
      <c r="E199" s="7" t="n"/>
      <c r="F199" s="7" t="n"/>
      <c r="G199" s="9" t="n"/>
      <c r="H199" s="8" t="n"/>
      <c r="I199" s="7" t="n"/>
    </row>
    <row r="200">
      <c r="A200" s="7" t="n"/>
      <c r="B200" s="8" t="n"/>
      <c r="C200" s="9" t="n"/>
      <c r="D200" s="7" t="n"/>
      <c r="E200" s="7" t="n"/>
      <c r="F200" s="7" t="n"/>
      <c r="G200" s="9" t="n"/>
      <c r="H200" s="8" t="n"/>
      <c r="I200" s="7" t="n"/>
    </row>
    <row r="201">
      <c r="A201" s="7" t="n"/>
      <c r="B201" s="8" t="n"/>
      <c r="C201" s="9" t="n"/>
      <c r="D201" s="7" t="n"/>
      <c r="E201" s="7" t="n"/>
      <c r="F201" s="7" t="n"/>
      <c r="G201" s="9" t="n"/>
      <c r="H201" s="8" t="n"/>
      <c r="I201" s="7" t="n"/>
    </row>
    <row r="202">
      <c r="A202" s="7" t="n"/>
      <c r="B202" s="8" t="n"/>
      <c r="C202" s="9" t="n"/>
      <c r="D202" s="7" t="n"/>
      <c r="E202" s="7" t="n"/>
      <c r="F202" s="7" t="n"/>
      <c r="G202" s="9" t="n"/>
      <c r="H202" s="8" t="n"/>
      <c r="I202" s="7" t="n"/>
    </row>
    <row r="203">
      <c r="A203" s="7" t="n"/>
      <c r="B203" s="8" t="n"/>
      <c r="C203" s="9" t="n"/>
      <c r="D203" s="7" t="n"/>
      <c r="E203" s="7" t="n"/>
      <c r="F203" s="7" t="n"/>
      <c r="G203" s="9" t="n"/>
      <c r="H203" s="8" t="n"/>
      <c r="I203" s="7" t="n"/>
    </row>
    <row r="204">
      <c r="A204" s="7" t="n"/>
      <c r="B204" s="8" t="n"/>
      <c r="C204" s="9" t="n"/>
      <c r="D204" s="7" t="n"/>
      <c r="E204" s="7" t="n"/>
      <c r="F204" s="7" t="n"/>
      <c r="G204" s="9" t="n"/>
      <c r="H204" s="8" t="n"/>
      <c r="I204" s="7" t="n"/>
    </row>
    <row r="205">
      <c r="A205" s="7" t="n"/>
      <c r="B205" s="8" t="n"/>
      <c r="C205" s="9" t="n"/>
      <c r="D205" s="7" t="n"/>
      <c r="E205" s="7" t="n"/>
      <c r="F205" s="7" t="n"/>
      <c r="G205" s="9" t="n"/>
      <c r="H205" s="8" t="n"/>
      <c r="I205" s="7" t="n"/>
    </row>
    <row r="206">
      <c r="A206" s="7" t="n"/>
      <c r="B206" s="8" t="n"/>
      <c r="C206" s="9" t="n"/>
      <c r="D206" s="7" t="n"/>
      <c r="E206" s="7" t="n"/>
      <c r="F206" s="7" t="n"/>
      <c r="G206" s="9" t="n"/>
      <c r="H206" s="8" t="n"/>
      <c r="I206" s="7" t="n"/>
    </row>
    <row r="207">
      <c r="A207" s="7" t="n"/>
      <c r="B207" s="8" t="n"/>
      <c r="C207" s="9" t="n"/>
      <c r="D207" s="7" t="n"/>
      <c r="E207" s="7" t="n"/>
      <c r="F207" s="7" t="n"/>
      <c r="G207" s="9" t="n"/>
      <c r="H207" s="8" t="n"/>
      <c r="I207" s="7" t="n"/>
    </row>
    <row r="208">
      <c r="A208" s="7" t="n"/>
      <c r="B208" s="8" t="n"/>
      <c r="C208" s="9" t="n"/>
      <c r="D208" s="7" t="n"/>
      <c r="E208" s="7" t="n"/>
      <c r="F208" s="7" t="n"/>
      <c r="G208" s="9" t="n"/>
      <c r="H208" s="8" t="n"/>
      <c r="I208" s="7" t="n"/>
    </row>
    <row r="209">
      <c r="A209" s="7" t="n"/>
      <c r="B209" s="8" t="n"/>
      <c r="C209" s="9" t="n"/>
      <c r="D209" s="7" t="n"/>
      <c r="E209" s="7" t="n"/>
      <c r="F209" s="7" t="n"/>
      <c r="G209" s="9" t="n"/>
      <c r="H209" s="8" t="n"/>
      <c r="I209" s="7" t="n"/>
    </row>
    <row r="210">
      <c r="A210" s="7" t="n"/>
      <c r="B210" s="8" t="n"/>
      <c r="C210" s="9" t="n"/>
      <c r="D210" s="7" t="n"/>
      <c r="E210" s="7" t="n"/>
      <c r="F210" s="7" t="n"/>
      <c r="G210" s="9" t="n"/>
      <c r="H210" s="8" t="n"/>
      <c r="I210" s="7" t="n"/>
    </row>
    <row r="211">
      <c r="A211" s="7" t="n"/>
      <c r="B211" s="8" t="n"/>
      <c r="C211" s="9" t="n"/>
      <c r="D211" s="7" t="n"/>
      <c r="E211" s="7" t="n"/>
      <c r="F211" s="7" t="n"/>
      <c r="G211" s="9" t="n"/>
      <c r="H211" s="8" t="n"/>
      <c r="I211" s="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A12:I211">
    <cfRule type="expression" priority="1" dxfId="1">
      <formula>AND($B12&lt;&gt;"",$B$5&lt;&gt;"",$B12&gt;$B$5)</formula>
    </cfRule>
  </conditionalFormatting>
  <dataValidations count="3">
    <dataValidation sqref="D12:D211" showDropDown="0" showInputMessage="0" showErrorMessage="1" allowBlank="1" errorTitle="Pick from the list" error="Choose one of the options in the dropdown." type="list">
      <formula1>"Yes,No"</formula1>
    </dataValidation>
    <dataValidation sqref="E12:E211" showDropDown="0" showInputMessage="0" showErrorMessage="1" allowBlank="1" errorTitle="Pick from the list" error="Choose one of the options in the dropdown." type="list">
      <formula1>"Yes,No"</formula1>
    </dataValidation>
    <dataValidation sqref="F12:F211" showDropDown="0" showInputMessage="0" showErrorMessage="1" allowBlank="1" errorTitle="Pick from the list" error="Choose one of the options in the dropdown." type="list">
      <formula1>"pending,allowed,disputed,rejected,paid"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6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8" customWidth="1" min="4" max="4"/>
    <col width="16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THE EXECUTOR'S DESK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Distribution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Shares are computed from the ledger balance less the reserve. Nothing is distributed before the creditor window closes and taxes are reserved for.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11" t="inlineStr">
        <is>
          <t>Balance in estate account</t>
        </is>
      </c>
      <c r="B5" s="13">
        <f>Ledger!B7</f>
        <v/>
      </c>
      <c r="C5" s="2" t="n"/>
      <c r="D5" s="2" t="n"/>
      <c r="E5" s="2" t="n"/>
      <c r="F5" s="2" t="n"/>
      <c r="G5" s="2" t="n"/>
      <c r="H5" s="2" t="n"/>
    </row>
    <row r="6">
      <c r="A6" s="11" t="inlineStr">
        <is>
          <t>Less: reserve for taxes and final costs</t>
        </is>
      </c>
      <c r="B6" s="13">
        <f>'Start here'!B26</f>
        <v/>
      </c>
      <c r="C6" s="2" t="n"/>
      <c r="D6" s="2" t="n"/>
      <c r="E6" s="2" t="n"/>
      <c r="F6" s="2" t="n"/>
      <c r="G6" s="2" t="n"/>
      <c r="H6" s="2" t="n"/>
    </row>
    <row r="7">
      <c r="A7" s="11" t="inlineStr">
        <is>
          <t>Less: specific gifts (dollar amounts below)</t>
        </is>
      </c>
      <c r="B7" s="13">
        <f>SUM($C$13:$C$62)</f>
        <v/>
      </c>
      <c r="C7" s="2" t="n"/>
      <c r="D7" s="2" t="n"/>
      <c r="E7" s="2" t="n"/>
      <c r="F7" s="2" t="n"/>
      <c r="G7" s="2" t="n"/>
      <c r="H7" s="2" t="n"/>
    </row>
    <row r="8">
      <c r="A8" s="6" t="inlineStr">
        <is>
          <t>Available for percentage shares</t>
        </is>
      </c>
      <c r="B8" s="14">
        <f>B5-B6-B7</f>
        <v/>
      </c>
      <c r="C8" s="2" t="n"/>
      <c r="D8" s="2" t="n"/>
      <c r="E8" s="2" t="n"/>
      <c r="F8" s="2" t="n"/>
      <c r="G8" s="2" t="n"/>
      <c r="H8" s="2" t="n"/>
    </row>
    <row r="9">
      <c r="A9" s="11" t="inlineStr">
        <is>
          <t>Percentages entered (should total 100%)</t>
        </is>
      </c>
      <c r="B9" s="21">
        <f>SUM($B$13:$B$62)</f>
        <v/>
      </c>
      <c r="C9" s="2" t="n"/>
      <c r="D9" s="2" t="n"/>
      <c r="E9" s="2" t="n"/>
      <c r="F9" s="2" t="n"/>
      <c r="G9" s="2" t="n"/>
      <c r="H9" s="2" t="n"/>
    </row>
    <row r="10">
      <c r="A10" s="4" t="inlineStr">
        <is>
          <t>Enter either a percentage or a specific gift amount per beneficiary, not both. Paid so far comes from your own records or the Ledger.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30" customHeight="1">
      <c r="A12" s="15" t="inlineStr">
        <is>
          <t>Beneficiary</t>
        </is>
      </c>
      <c r="B12" s="15" t="inlineStr">
        <is>
          <t>Share %</t>
        </is>
      </c>
      <c r="C12" s="15" t="inlineStr">
        <is>
          <t>Specific gift ($)</t>
        </is>
      </c>
      <c r="D12" s="15" t="inlineStr">
        <is>
          <t>Computed share</t>
        </is>
      </c>
      <c r="E12" s="15" t="inlineStr">
        <is>
          <t>Paid so far</t>
        </is>
      </c>
      <c r="F12" s="15" t="inlineStr">
        <is>
          <t>Balance owed</t>
        </is>
      </c>
      <c r="G12" s="15" t="inlineStr">
        <is>
          <t>Receipt &amp; release signed?</t>
        </is>
      </c>
      <c r="H12" s="15" t="inlineStr">
        <is>
          <t>Notes</t>
        </is>
      </c>
    </row>
    <row r="13">
      <c r="A13" s="16" t="inlineStr">
        <is>
          <t>Anna Kowalski (daughter)</t>
        </is>
      </c>
      <c r="B13" s="22" t="n">
        <v>0.5</v>
      </c>
      <c r="C13" s="9" t="n"/>
      <c r="D13" s="19">
        <f>IF(A13="","",IF(C13&lt;&gt;"",C13,$B$8*B13))</f>
        <v/>
      </c>
      <c r="E13" s="17" t="n">
        <v>0</v>
      </c>
      <c r="F13" s="19">
        <f>IF(A13="","",D13-N(E13))</f>
        <v/>
      </c>
      <c r="G13" s="16" t="inlineStr">
        <is>
          <t>No</t>
        </is>
      </c>
      <c r="H13" s="16" t="inlineStr">
        <is>
          <t>Address on file</t>
        </is>
      </c>
    </row>
    <row r="14">
      <c r="A14" s="16" t="inlineStr">
        <is>
          <t>Mark Kowalski (son)</t>
        </is>
      </c>
      <c r="B14" s="22" t="n">
        <v>0.5</v>
      </c>
      <c r="C14" s="9" t="n"/>
      <c r="D14" s="19">
        <f>IF(A14="","",IF(C14&lt;&gt;"",C14,$B$8*B14))</f>
        <v/>
      </c>
      <c r="E14" s="17" t="n">
        <v>0</v>
      </c>
      <c r="F14" s="19">
        <f>IF(A14="","",D14-N(E14))</f>
        <v/>
      </c>
      <c r="G14" s="16" t="inlineStr">
        <is>
          <t>No</t>
        </is>
      </c>
      <c r="H14" s="16" t="inlineStr"/>
    </row>
    <row r="15">
      <c r="A15" s="16" t="inlineStr">
        <is>
          <t>St. Luke's Parish (specific gift, will §4)</t>
        </is>
      </c>
      <c r="B15" s="23" t="n"/>
      <c r="C15" s="17" t="n">
        <v>5000</v>
      </c>
      <c r="D15" s="19">
        <f>IF(A15="","",IF(C15&lt;&gt;"",C15,$B$8*B15))</f>
        <v/>
      </c>
      <c r="E15" s="17" t="n">
        <v>0</v>
      </c>
      <c r="F15" s="19">
        <f>IF(A15="","",D15-N(E15))</f>
        <v/>
      </c>
      <c r="G15" s="16" t="inlineStr">
        <is>
          <t>No</t>
        </is>
      </c>
      <c r="H15" s="16" t="inlineStr">
        <is>
          <t>Pay after window closes</t>
        </is>
      </c>
    </row>
    <row r="16">
      <c r="A16" s="7" t="n"/>
      <c r="B16" s="23" t="n"/>
      <c r="C16" s="9" t="n"/>
      <c r="D16" s="19">
        <f>IF(A16="","",IF(C16&lt;&gt;"",C16,$B$8*B16))</f>
        <v/>
      </c>
      <c r="E16" s="9" t="n"/>
      <c r="F16" s="19">
        <f>IF(A16="","",D16-N(E16))</f>
        <v/>
      </c>
      <c r="G16" s="7" t="n"/>
      <c r="H16" s="7" t="n"/>
    </row>
    <row r="17">
      <c r="A17" s="7" t="n"/>
      <c r="B17" s="23" t="n"/>
      <c r="C17" s="9" t="n"/>
      <c r="D17" s="19">
        <f>IF(A17="","",IF(C17&lt;&gt;"",C17,$B$8*B17))</f>
        <v/>
      </c>
      <c r="E17" s="9" t="n"/>
      <c r="F17" s="19">
        <f>IF(A17="","",D17-N(E17))</f>
        <v/>
      </c>
      <c r="G17" s="7" t="n"/>
      <c r="H17" s="7" t="n"/>
    </row>
    <row r="18">
      <c r="A18" s="7" t="n"/>
      <c r="B18" s="23" t="n"/>
      <c r="C18" s="9" t="n"/>
      <c r="D18" s="19">
        <f>IF(A18="","",IF(C18&lt;&gt;"",C18,$B$8*B18))</f>
        <v/>
      </c>
      <c r="E18" s="9" t="n"/>
      <c r="F18" s="19">
        <f>IF(A18="","",D18-N(E18))</f>
        <v/>
      </c>
      <c r="G18" s="7" t="n"/>
      <c r="H18" s="7" t="n"/>
    </row>
    <row r="19">
      <c r="A19" s="7" t="n"/>
      <c r="B19" s="23" t="n"/>
      <c r="C19" s="9" t="n"/>
      <c r="D19" s="19">
        <f>IF(A19="","",IF(C19&lt;&gt;"",C19,$B$8*B19))</f>
        <v/>
      </c>
      <c r="E19" s="9" t="n"/>
      <c r="F19" s="19">
        <f>IF(A19="","",D19-N(E19))</f>
        <v/>
      </c>
      <c r="G19" s="7" t="n"/>
      <c r="H19" s="7" t="n"/>
    </row>
    <row r="20">
      <c r="A20" s="7" t="n"/>
      <c r="B20" s="23" t="n"/>
      <c r="C20" s="9" t="n"/>
      <c r="D20" s="19">
        <f>IF(A20="","",IF(C20&lt;&gt;"",C20,$B$8*B20))</f>
        <v/>
      </c>
      <c r="E20" s="9" t="n"/>
      <c r="F20" s="19">
        <f>IF(A20="","",D20-N(E20))</f>
        <v/>
      </c>
      <c r="G20" s="7" t="n"/>
      <c r="H20" s="7" t="n"/>
    </row>
    <row r="21">
      <c r="A21" s="7" t="n"/>
      <c r="B21" s="23" t="n"/>
      <c r="C21" s="9" t="n"/>
      <c r="D21" s="19">
        <f>IF(A21="","",IF(C21&lt;&gt;"",C21,$B$8*B21))</f>
        <v/>
      </c>
      <c r="E21" s="9" t="n"/>
      <c r="F21" s="19">
        <f>IF(A21="","",D21-N(E21))</f>
        <v/>
      </c>
      <c r="G21" s="7" t="n"/>
      <c r="H21" s="7" t="n"/>
    </row>
    <row r="22">
      <c r="A22" s="7" t="n"/>
      <c r="B22" s="23" t="n"/>
      <c r="C22" s="9" t="n"/>
      <c r="D22" s="19">
        <f>IF(A22="","",IF(C22&lt;&gt;"",C22,$B$8*B22))</f>
        <v/>
      </c>
      <c r="E22" s="9" t="n"/>
      <c r="F22" s="19">
        <f>IF(A22="","",D22-N(E22))</f>
        <v/>
      </c>
      <c r="G22" s="7" t="n"/>
      <c r="H22" s="7" t="n"/>
    </row>
    <row r="23">
      <c r="A23" s="7" t="n"/>
      <c r="B23" s="23" t="n"/>
      <c r="C23" s="9" t="n"/>
      <c r="D23" s="19">
        <f>IF(A23="","",IF(C23&lt;&gt;"",C23,$B$8*B23))</f>
        <v/>
      </c>
      <c r="E23" s="9" t="n"/>
      <c r="F23" s="19">
        <f>IF(A23="","",D23-N(E23))</f>
        <v/>
      </c>
      <c r="G23" s="7" t="n"/>
      <c r="H23" s="7" t="n"/>
    </row>
    <row r="24">
      <c r="A24" s="7" t="n"/>
      <c r="B24" s="23" t="n"/>
      <c r="C24" s="9" t="n"/>
      <c r="D24" s="19">
        <f>IF(A24="","",IF(C24&lt;&gt;"",C24,$B$8*B24))</f>
        <v/>
      </c>
      <c r="E24" s="9" t="n"/>
      <c r="F24" s="19">
        <f>IF(A24="","",D24-N(E24))</f>
        <v/>
      </c>
      <c r="G24" s="7" t="n"/>
      <c r="H24" s="7" t="n"/>
    </row>
    <row r="25">
      <c r="A25" s="7" t="n"/>
      <c r="B25" s="23" t="n"/>
      <c r="C25" s="9" t="n"/>
      <c r="D25" s="19">
        <f>IF(A25="","",IF(C25&lt;&gt;"",C25,$B$8*B25))</f>
        <v/>
      </c>
      <c r="E25" s="9" t="n"/>
      <c r="F25" s="19">
        <f>IF(A25="","",D25-N(E25))</f>
        <v/>
      </c>
      <c r="G25" s="7" t="n"/>
      <c r="H25" s="7" t="n"/>
    </row>
    <row r="26">
      <c r="A26" s="7" t="n"/>
      <c r="B26" s="23" t="n"/>
      <c r="C26" s="9" t="n"/>
      <c r="D26" s="19">
        <f>IF(A26="","",IF(C26&lt;&gt;"",C26,$B$8*B26))</f>
        <v/>
      </c>
      <c r="E26" s="9" t="n"/>
      <c r="F26" s="19">
        <f>IF(A26="","",D26-N(E26))</f>
        <v/>
      </c>
      <c r="G26" s="7" t="n"/>
      <c r="H26" s="7" t="n"/>
    </row>
    <row r="27">
      <c r="A27" s="7" t="n"/>
      <c r="B27" s="23" t="n"/>
      <c r="C27" s="9" t="n"/>
      <c r="D27" s="19">
        <f>IF(A27="","",IF(C27&lt;&gt;"",C27,$B$8*B27))</f>
        <v/>
      </c>
      <c r="E27" s="9" t="n"/>
      <c r="F27" s="19">
        <f>IF(A27="","",D27-N(E27))</f>
        <v/>
      </c>
      <c r="G27" s="7" t="n"/>
      <c r="H27" s="7" t="n"/>
    </row>
    <row r="28">
      <c r="A28" s="7" t="n"/>
      <c r="B28" s="23" t="n"/>
      <c r="C28" s="9" t="n"/>
      <c r="D28" s="19">
        <f>IF(A28="","",IF(C28&lt;&gt;"",C28,$B$8*B28))</f>
        <v/>
      </c>
      <c r="E28" s="9" t="n"/>
      <c r="F28" s="19">
        <f>IF(A28="","",D28-N(E28))</f>
        <v/>
      </c>
      <c r="G28" s="7" t="n"/>
      <c r="H28" s="7" t="n"/>
    </row>
    <row r="29">
      <c r="A29" s="7" t="n"/>
      <c r="B29" s="23" t="n"/>
      <c r="C29" s="9" t="n"/>
      <c r="D29" s="19">
        <f>IF(A29="","",IF(C29&lt;&gt;"",C29,$B$8*B29))</f>
        <v/>
      </c>
      <c r="E29" s="9" t="n"/>
      <c r="F29" s="19">
        <f>IF(A29="","",D29-N(E29))</f>
        <v/>
      </c>
      <c r="G29" s="7" t="n"/>
      <c r="H29" s="7" t="n"/>
    </row>
    <row r="30">
      <c r="A30" s="7" t="n"/>
      <c r="B30" s="23" t="n"/>
      <c r="C30" s="9" t="n"/>
      <c r="D30" s="19">
        <f>IF(A30="","",IF(C30&lt;&gt;"",C30,$B$8*B30))</f>
        <v/>
      </c>
      <c r="E30" s="9" t="n"/>
      <c r="F30" s="19">
        <f>IF(A30="","",D30-N(E30))</f>
        <v/>
      </c>
      <c r="G30" s="7" t="n"/>
      <c r="H30" s="7" t="n"/>
    </row>
    <row r="31">
      <c r="A31" s="7" t="n"/>
      <c r="B31" s="23" t="n"/>
      <c r="C31" s="9" t="n"/>
      <c r="D31" s="19">
        <f>IF(A31="","",IF(C31&lt;&gt;"",C31,$B$8*B31))</f>
        <v/>
      </c>
      <c r="E31" s="9" t="n"/>
      <c r="F31" s="19">
        <f>IF(A31="","",D31-N(E31))</f>
        <v/>
      </c>
      <c r="G31" s="7" t="n"/>
      <c r="H31" s="7" t="n"/>
    </row>
    <row r="32">
      <c r="A32" s="7" t="n"/>
      <c r="B32" s="23" t="n"/>
      <c r="C32" s="9" t="n"/>
      <c r="D32" s="19">
        <f>IF(A32="","",IF(C32&lt;&gt;"",C32,$B$8*B32))</f>
        <v/>
      </c>
      <c r="E32" s="9" t="n"/>
      <c r="F32" s="19">
        <f>IF(A32="","",D32-N(E32))</f>
        <v/>
      </c>
      <c r="G32" s="7" t="n"/>
      <c r="H32" s="7" t="n"/>
    </row>
    <row r="33">
      <c r="A33" s="7" t="n"/>
      <c r="B33" s="23" t="n"/>
      <c r="C33" s="9" t="n"/>
      <c r="D33" s="19">
        <f>IF(A33="","",IF(C33&lt;&gt;"",C33,$B$8*B33))</f>
        <v/>
      </c>
      <c r="E33" s="9" t="n"/>
      <c r="F33" s="19">
        <f>IF(A33="","",D33-N(E33))</f>
        <v/>
      </c>
      <c r="G33" s="7" t="n"/>
      <c r="H33" s="7" t="n"/>
    </row>
    <row r="34">
      <c r="A34" s="7" t="n"/>
      <c r="B34" s="23" t="n"/>
      <c r="C34" s="9" t="n"/>
      <c r="D34" s="19">
        <f>IF(A34="","",IF(C34&lt;&gt;"",C34,$B$8*B34))</f>
        <v/>
      </c>
      <c r="E34" s="9" t="n"/>
      <c r="F34" s="19">
        <f>IF(A34="","",D34-N(E34))</f>
        <v/>
      </c>
      <c r="G34" s="7" t="n"/>
      <c r="H34" s="7" t="n"/>
    </row>
    <row r="35">
      <c r="A35" s="7" t="n"/>
      <c r="B35" s="23" t="n"/>
      <c r="C35" s="9" t="n"/>
      <c r="D35" s="19">
        <f>IF(A35="","",IF(C35&lt;&gt;"",C35,$B$8*B35))</f>
        <v/>
      </c>
      <c r="E35" s="9" t="n"/>
      <c r="F35" s="19">
        <f>IF(A35="","",D35-N(E35))</f>
        <v/>
      </c>
      <c r="G35" s="7" t="n"/>
      <c r="H35" s="7" t="n"/>
    </row>
    <row r="36">
      <c r="A36" s="7" t="n"/>
      <c r="B36" s="23" t="n"/>
      <c r="C36" s="9" t="n"/>
      <c r="D36" s="19">
        <f>IF(A36="","",IF(C36&lt;&gt;"",C36,$B$8*B36))</f>
        <v/>
      </c>
      <c r="E36" s="9" t="n"/>
      <c r="F36" s="19">
        <f>IF(A36="","",D36-N(E36))</f>
        <v/>
      </c>
      <c r="G36" s="7" t="n"/>
      <c r="H36" s="7" t="n"/>
    </row>
    <row r="37">
      <c r="A37" s="7" t="n"/>
      <c r="B37" s="23" t="n"/>
      <c r="C37" s="9" t="n"/>
      <c r="D37" s="19">
        <f>IF(A37="","",IF(C37&lt;&gt;"",C37,$B$8*B37))</f>
        <v/>
      </c>
      <c r="E37" s="9" t="n"/>
      <c r="F37" s="19">
        <f>IF(A37="","",D37-N(E37))</f>
        <v/>
      </c>
      <c r="G37" s="7" t="n"/>
      <c r="H37" s="7" t="n"/>
    </row>
    <row r="38">
      <c r="A38" s="7" t="n"/>
      <c r="B38" s="23" t="n"/>
      <c r="C38" s="9" t="n"/>
      <c r="D38" s="19">
        <f>IF(A38="","",IF(C38&lt;&gt;"",C38,$B$8*B38))</f>
        <v/>
      </c>
      <c r="E38" s="9" t="n"/>
      <c r="F38" s="19">
        <f>IF(A38="","",D38-N(E38))</f>
        <v/>
      </c>
      <c r="G38" s="7" t="n"/>
      <c r="H38" s="7" t="n"/>
    </row>
    <row r="39">
      <c r="A39" s="7" t="n"/>
      <c r="B39" s="23" t="n"/>
      <c r="C39" s="9" t="n"/>
      <c r="D39" s="19">
        <f>IF(A39="","",IF(C39&lt;&gt;"",C39,$B$8*B39))</f>
        <v/>
      </c>
      <c r="E39" s="9" t="n"/>
      <c r="F39" s="19">
        <f>IF(A39="","",D39-N(E39))</f>
        <v/>
      </c>
      <c r="G39" s="7" t="n"/>
      <c r="H39" s="7" t="n"/>
    </row>
    <row r="40">
      <c r="A40" s="7" t="n"/>
      <c r="B40" s="23" t="n"/>
      <c r="C40" s="9" t="n"/>
      <c r="D40" s="19">
        <f>IF(A40="","",IF(C40&lt;&gt;"",C40,$B$8*B40))</f>
        <v/>
      </c>
      <c r="E40" s="9" t="n"/>
      <c r="F40" s="19">
        <f>IF(A40="","",D40-N(E40))</f>
        <v/>
      </c>
      <c r="G40" s="7" t="n"/>
      <c r="H40" s="7" t="n"/>
    </row>
    <row r="41">
      <c r="A41" s="7" t="n"/>
      <c r="B41" s="23" t="n"/>
      <c r="C41" s="9" t="n"/>
      <c r="D41" s="19">
        <f>IF(A41="","",IF(C41&lt;&gt;"",C41,$B$8*B41))</f>
        <v/>
      </c>
      <c r="E41" s="9" t="n"/>
      <c r="F41" s="19">
        <f>IF(A41="","",D41-N(E41))</f>
        <v/>
      </c>
      <c r="G41" s="7" t="n"/>
      <c r="H41" s="7" t="n"/>
    </row>
    <row r="42">
      <c r="A42" s="7" t="n"/>
      <c r="B42" s="23" t="n"/>
      <c r="C42" s="9" t="n"/>
      <c r="D42" s="19">
        <f>IF(A42="","",IF(C42&lt;&gt;"",C42,$B$8*B42))</f>
        <v/>
      </c>
      <c r="E42" s="9" t="n"/>
      <c r="F42" s="19">
        <f>IF(A42="","",D42-N(E42))</f>
        <v/>
      </c>
      <c r="G42" s="7" t="n"/>
      <c r="H42" s="7" t="n"/>
    </row>
    <row r="43">
      <c r="A43" s="7" t="n"/>
      <c r="B43" s="23" t="n"/>
      <c r="C43" s="9" t="n"/>
      <c r="D43" s="19">
        <f>IF(A43="","",IF(C43&lt;&gt;"",C43,$B$8*B43))</f>
        <v/>
      </c>
      <c r="E43" s="9" t="n"/>
      <c r="F43" s="19">
        <f>IF(A43="","",D43-N(E43))</f>
        <v/>
      </c>
      <c r="G43" s="7" t="n"/>
      <c r="H43" s="7" t="n"/>
    </row>
    <row r="44">
      <c r="A44" s="7" t="n"/>
      <c r="B44" s="23" t="n"/>
      <c r="C44" s="9" t="n"/>
      <c r="D44" s="19">
        <f>IF(A44="","",IF(C44&lt;&gt;"",C44,$B$8*B44))</f>
        <v/>
      </c>
      <c r="E44" s="9" t="n"/>
      <c r="F44" s="19">
        <f>IF(A44="","",D44-N(E44))</f>
        <v/>
      </c>
      <c r="G44" s="7" t="n"/>
      <c r="H44" s="7" t="n"/>
    </row>
    <row r="45">
      <c r="A45" s="7" t="n"/>
      <c r="B45" s="23" t="n"/>
      <c r="C45" s="9" t="n"/>
      <c r="D45" s="19">
        <f>IF(A45="","",IF(C45&lt;&gt;"",C45,$B$8*B45))</f>
        <v/>
      </c>
      <c r="E45" s="9" t="n"/>
      <c r="F45" s="19">
        <f>IF(A45="","",D45-N(E45))</f>
        <v/>
      </c>
      <c r="G45" s="7" t="n"/>
      <c r="H45" s="7" t="n"/>
    </row>
    <row r="46">
      <c r="A46" s="7" t="n"/>
      <c r="B46" s="23" t="n"/>
      <c r="C46" s="9" t="n"/>
      <c r="D46" s="19">
        <f>IF(A46="","",IF(C46&lt;&gt;"",C46,$B$8*B46))</f>
        <v/>
      </c>
      <c r="E46" s="9" t="n"/>
      <c r="F46" s="19">
        <f>IF(A46="","",D46-N(E46))</f>
        <v/>
      </c>
      <c r="G46" s="7" t="n"/>
      <c r="H46" s="7" t="n"/>
    </row>
    <row r="47">
      <c r="A47" s="7" t="n"/>
      <c r="B47" s="23" t="n"/>
      <c r="C47" s="9" t="n"/>
      <c r="D47" s="19">
        <f>IF(A47="","",IF(C47&lt;&gt;"",C47,$B$8*B47))</f>
        <v/>
      </c>
      <c r="E47" s="9" t="n"/>
      <c r="F47" s="19">
        <f>IF(A47="","",D47-N(E47))</f>
        <v/>
      </c>
      <c r="G47" s="7" t="n"/>
      <c r="H47" s="7" t="n"/>
    </row>
    <row r="48">
      <c r="A48" s="7" t="n"/>
      <c r="B48" s="23" t="n"/>
      <c r="C48" s="9" t="n"/>
      <c r="D48" s="19">
        <f>IF(A48="","",IF(C48&lt;&gt;"",C48,$B$8*B48))</f>
        <v/>
      </c>
      <c r="E48" s="9" t="n"/>
      <c r="F48" s="19">
        <f>IF(A48="","",D48-N(E48))</f>
        <v/>
      </c>
      <c r="G48" s="7" t="n"/>
      <c r="H48" s="7" t="n"/>
    </row>
    <row r="49">
      <c r="A49" s="7" t="n"/>
      <c r="B49" s="23" t="n"/>
      <c r="C49" s="9" t="n"/>
      <c r="D49" s="19">
        <f>IF(A49="","",IF(C49&lt;&gt;"",C49,$B$8*B49))</f>
        <v/>
      </c>
      <c r="E49" s="9" t="n"/>
      <c r="F49" s="19">
        <f>IF(A49="","",D49-N(E49))</f>
        <v/>
      </c>
      <c r="G49" s="7" t="n"/>
      <c r="H49" s="7" t="n"/>
    </row>
    <row r="50">
      <c r="A50" s="7" t="n"/>
      <c r="B50" s="23" t="n"/>
      <c r="C50" s="9" t="n"/>
      <c r="D50" s="19">
        <f>IF(A50="","",IF(C50&lt;&gt;"",C50,$B$8*B50))</f>
        <v/>
      </c>
      <c r="E50" s="9" t="n"/>
      <c r="F50" s="19">
        <f>IF(A50="","",D50-N(E50))</f>
        <v/>
      </c>
      <c r="G50" s="7" t="n"/>
      <c r="H50" s="7" t="n"/>
    </row>
    <row r="51">
      <c r="A51" s="7" t="n"/>
      <c r="B51" s="23" t="n"/>
      <c r="C51" s="9" t="n"/>
      <c r="D51" s="19">
        <f>IF(A51="","",IF(C51&lt;&gt;"",C51,$B$8*B51))</f>
        <v/>
      </c>
      <c r="E51" s="9" t="n"/>
      <c r="F51" s="19">
        <f>IF(A51="","",D51-N(E51))</f>
        <v/>
      </c>
      <c r="G51" s="7" t="n"/>
      <c r="H51" s="7" t="n"/>
    </row>
    <row r="52">
      <c r="A52" s="7" t="n"/>
      <c r="B52" s="23" t="n"/>
      <c r="C52" s="9" t="n"/>
      <c r="D52" s="19">
        <f>IF(A52="","",IF(C52&lt;&gt;"",C52,$B$8*B52))</f>
        <v/>
      </c>
      <c r="E52" s="9" t="n"/>
      <c r="F52" s="19">
        <f>IF(A52="","",D52-N(E52))</f>
        <v/>
      </c>
      <c r="G52" s="7" t="n"/>
      <c r="H52" s="7" t="n"/>
    </row>
    <row r="53">
      <c r="A53" s="7" t="n"/>
      <c r="B53" s="23" t="n"/>
      <c r="C53" s="9" t="n"/>
      <c r="D53" s="19">
        <f>IF(A53="","",IF(C53&lt;&gt;"",C53,$B$8*B53))</f>
        <v/>
      </c>
      <c r="E53" s="9" t="n"/>
      <c r="F53" s="19">
        <f>IF(A53="","",D53-N(E53))</f>
        <v/>
      </c>
      <c r="G53" s="7" t="n"/>
      <c r="H53" s="7" t="n"/>
    </row>
    <row r="54">
      <c r="A54" s="7" t="n"/>
      <c r="B54" s="23" t="n"/>
      <c r="C54" s="9" t="n"/>
      <c r="D54" s="19">
        <f>IF(A54="","",IF(C54&lt;&gt;"",C54,$B$8*B54))</f>
        <v/>
      </c>
      <c r="E54" s="9" t="n"/>
      <c r="F54" s="19">
        <f>IF(A54="","",D54-N(E54))</f>
        <v/>
      </c>
      <c r="G54" s="7" t="n"/>
      <c r="H54" s="7" t="n"/>
    </row>
    <row r="55">
      <c r="A55" s="7" t="n"/>
      <c r="B55" s="23" t="n"/>
      <c r="C55" s="9" t="n"/>
      <c r="D55" s="19">
        <f>IF(A55="","",IF(C55&lt;&gt;"",C55,$B$8*B55))</f>
        <v/>
      </c>
      <c r="E55" s="9" t="n"/>
      <c r="F55" s="19">
        <f>IF(A55="","",D55-N(E55))</f>
        <v/>
      </c>
      <c r="G55" s="7" t="n"/>
      <c r="H55" s="7" t="n"/>
    </row>
    <row r="56">
      <c r="A56" s="7" t="n"/>
      <c r="B56" s="23" t="n"/>
      <c r="C56" s="9" t="n"/>
      <c r="D56" s="19">
        <f>IF(A56="","",IF(C56&lt;&gt;"",C56,$B$8*B56))</f>
        <v/>
      </c>
      <c r="E56" s="9" t="n"/>
      <c r="F56" s="19">
        <f>IF(A56="","",D56-N(E56))</f>
        <v/>
      </c>
      <c r="G56" s="7" t="n"/>
      <c r="H56" s="7" t="n"/>
    </row>
    <row r="57">
      <c r="A57" s="7" t="n"/>
      <c r="B57" s="23" t="n"/>
      <c r="C57" s="9" t="n"/>
      <c r="D57" s="19">
        <f>IF(A57="","",IF(C57&lt;&gt;"",C57,$B$8*B57))</f>
        <v/>
      </c>
      <c r="E57" s="9" t="n"/>
      <c r="F57" s="19">
        <f>IF(A57="","",D57-N(E57))</f>
        <v/>
      </c>
      <c r="G57" s="7" t="n"/>
      <c r="H57" s="7" t="n"/>
    </row>
    <row r="58">
      <c r="A58" s="7" t="n"/>
      <c r="B58" s="23" t="n"/>
      <c r="C58" s="9" t="n"/>
      <c r="D58" s="19">
        <f>IF(A58="","",IF(C58&lt;&gt;"",C58,$B$8*B58))</f>
        <v/>
      </c>
      <c r="E58" s="9" t="n"/>
      <c r="F58" s="19">
        <f>IF(A58="","",D58-N(E58))</f>
        <v/>
      </c>
      <c r="G58" s="7" t="n"/>
      <c r="H58" s="7" t="n"/>
    </row>
    <row r="59">
      <c r="A59" s="7" t="n"/>
      <c r="B59" s="23" t="n"/>
      <c r="C59" s="9" t="n"/>
      <c r="D59" s="19">
        <f>IF(A59="","",IF(C59&lt;&gt;"",C59,$B$8*B59))</f>
        <v/>
      </c>
      <c r="E59" s="9" t="n"/>
      <c r="F59" s="19">
        <f>IF(A59="","",D59-N(E59))</f>
        <v/>
      </c>
      <c r="G59" s="7" t="n"/>
      <c r="H59" s="7" t="n"/>
    </row>
    <row r="60">
      <c r="A60" s="7" t="n"/>
      <c r="B60" s="23" t="n"/>
      <c r="C60" s="9" t="n"/>
      <c r="D60" s="19">
        <f>IF(A60="","",IF(C60&lt;&gt;"",C60,$B$8*B60))</f>
        <v/>
      </c>
      <c r="E60" s="9" t="n"/>
      <c r="F60" s="19">
        <f>IF(A60="","",D60-N(E60))</f>
        <v/>
      </c>
      <c r="G60" s="7" t="n"/>
      <c r="H60" s="7" t="n"/>
    </row>
    <row r="61">
      <c r="A61" s="7" t="n"/>
      <c r="B61" s="23" t="n"/>
      <c r="C61" s="9" t="n"/>
      <c r="D61" s="19">
        <f>IF(A61="","",IF(C61&lt;&gt;"",C61,$B$8*B61))</f>
        <v/>
      </c>
      <c r="E61" s="9" t="n"/>
      <c r="F61" s="19">
        <f>IF(A61="","",D61-N(E61))</f>
        <v/>
      </c>
      <c r="G61" s="7" t="n"/>
      <c r="H61" s="7" t="n"/>
    </row>
    <row r="62">
      <c r="A62" s="7" t="n"/>
      <c r="B62" s="23" t="n"/>
      <c r="C62" s="9" t="n"/>
      <c r="D62" s="19">
        <f>IF(A62="","",IF(C62&lt;&gt;"",C62,$B$8*B62))</f>
        <v/>
      </c>
      <c r="E62" s="9" t="n"/>
      <c r="F62" s="19">
        <f>IF(A62="","",D62-N(E62))</f>
        <v/>
      </c>
      <c r="G62" s="7" t="n"/>
      <c r="H62" s="7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11" t="inlineStr">
        <is>
          <t>Total distributed per Ledger (category 'distribution')</t>
        </is>
      </c>
      <c r="B64" s="13">
        <f>SUMIF(Ledger!$C$13:$C$212,"distribution",Ledger!$E$13:$E$212)</f>
        <v/>
      </c>
      <c r="C64" s="2" t="n"/>
      <c r="D64" s="2" t="n"/>
      <c r="E64" s="2" t="n"/>
      <c r="F64" s="2" t="n"/>
      <c r="G64" s="2" t="n"/>
      <c r="H64" s="2" t="n"/>
    </row>
    <row r="65">
      <c r="A65" s="11" t="inlineStr">
        <is>
          <t>Total 'Paid so far' entered above</t>
        </is>
      </c>
      <c r="B65" s="13">
        <f>SUM($E$13:$E$62)</f>
        <v/>
      </c>
      <c r="C65" s="2" t="n"/>
      <c r="D65" s="2" t="n"/>
      <c r="E65" s="2" t="n"/>
      <c r="F65" s="2" t="n"/>
      <c r="G65" s="2" t="n"/>
      <c r="H65" s="2" t="n"/>
    </row>
    <row r="66">
      <c r="A66" s="6" t="inlineStr">
        <is>
          <t>Difference (should be zero)</t>
        </is>
      </c>
      <c r="B66" s="14">
        <f>B64-B65</f>
        <v/>
      </c>
      <c r="C66" s="2" t="n"/>
      <c r="D66" s="2" t="n"/>
      <c r="E66" s="2" t="n"/>
      <c r="F66" s="2" t="n"/>
      <c r="G66" s="2" t="n"/>
      <c r="H66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conditionalFormatting sqref="B9">
    <cfRule type="expression" priority="1" dxfId="1">
      <formula>AND(B9&lt;&gt;0,ROUND(B9,4)&lt;&gt;1)</formula>
    </cfRule>
  </conditionalFormatting>
  <dataValidations count="1">
    <dataValidation sqref="G13:G62" showDropDown="0" showInputMessage="0" showErrorMessage="1" allowBlank="1" errorTitle="Pick from the list" error="Choose one of the options in the dropdown.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</cols>
  <sheetData>
    <row r="1">
      <c r="A1" s="1" t="inlineStr">
        <is>
          <t>THE EXECUTOR'S DESK</t>
        </is>
      </c>
      <c r="B1" s="2" t="n"/>
      <c r="C1" s="2" t="n"/>
    </row>
    <row r="2">
      <c r="A2" s="3" t="inlineStr">
        <is>
          <t>Final accounting</t>
        </is>
      </c>
      <c r="B2" s="2" t="n"/>
      <c r="C2" s="2" t="n"/>
    </row>
    <row r="3">
      <c r="A3" s="4" t="inlineStr">
        <is>
          <t>Print this page. Every number pulls from the other tabs.</t>
        </is>
      </c>
      <c r="B3" s="2" t="n"/>
      <c r="C3" s="2" t="n"/>
    </row>
    <row r="4">
      <c r="A4" s="2" t="n"/>
      <c r="B4" s="2" t="n"/>
      <c r="C4" s="2" t="n"/>
    </row>
    <row r="5">
      <c r="A5" s="11" t="inlineStr">
        <is>
          <t>Estate of</t>
        </is>
      </c>
      <c r="B5" s="11">
        <f>IF('Start here'!B20="","",'Start here'!B20)</f>
        <v/>
      </c>
      <c r="C5" s="2" t="n"/>
    </row>
    <row r="6">
      <c r="A6" s="11" t="inlineStr">
        <is>
          <t>Date of death</t>
        </is>
      </c>
      <c r="B6" s="24">
        <f>IF('Start here'!B21="","",'Start here'!B21)</f>
        <v/>
      </c>
      <c r="C6" s="2" t="n"/>
    </row>
    <row r="7">
      <c r="A7" s="11" t="inlineStr">
        <is>
          <t>Court and case number</t>
        </is>
      </c>
      <c r="B7" s="11">
        <f>IF('Start here'!B23="","",'Start here'!B23)</f>
        <v/>
      </c>
      <c r="C7" s="2" t="n"/>
    </row>
    <row r="8">
      <c r="A8" s="11" t="inlineStr">
        <is>
          <t>Personal representative</t>
        </is>
      </c>
      <c r="B8" s="11">
        <f>IF('Start here'!B24="","",'Start here'!B24)</f>
        <v/>
      </c>
      <c r="C8" s="2" t="n"/>
    </row>
    <row r="9">
      <c r="A9" s="2" t="n"/>
      <c r="B9" s="2" t="n"/>
      <c r="C9" s="2" t="n"/>
    </row>
    <row r="10">
      <c r="A10" s="25" t="inlineStr">
        <is>
          <t>I. Inventory at date of death</t>
        </is>
      </c>
      <c r="B10" s="26" t="n"/>
      <c r="C10" s="26" t="n"/>
    </row>
    <row r="11">
      <c r="A11" s="11" t="inlineStr">
        <is>
          <t>Probate estate (Inventory, C)</t>
        </is>
      </c>
      <c r="B11" s="13">
        <f>Inventory!F8</f>
        <v/>
      </c>
      <c r="C11" s="2" t="n"/>
    </row>
    <row r="12">
      <c r="A12" s="11" t="inlineStr">
        <is>
          <t>Non-probate: beneficiary designations (A)</t>
        </is>
      </c>
      <c r="B12" s="13">
        <f>Inventory!F6</f>
        <v/>
      </c>
      <c r="C12" s="2" t="n"/>
    </row>
    <row r="13">
      <c r="A13" s="11" t="inlineStr">
        <is>
          <t>Non-probate: joint and trust (B)</t>
        </is>
      </c>
      <c r="B13" s="13">
        <f>Inventory!F7</f>
        <v/>
      </c>
      <c r="C13" s="2" t="n"/>
    </row>
    <row r="14">
      <c r="A14" s="27" t="inlineStr">
        <is>
          <t>Total assets at date of death</t>
        </is>
      </c>
      <c r="B14" s="28">
        <f>SUM(B11:B13)</f>
        <v/>
      </c>
      <c r="C14" s="2" t="n"/>
    </row>
    <row r="15">
      <c r="A15" s="2" t="n"/>
      <c r="B15" s="2" t="n"/>
      <c r="C15" s="2" t="n"/>
    </row>
    <row r="16">
      <c r="A16" s="25" t="inlineStr">
        <is>
          <t>II. Receipts into the estate account</t>
        </is>
      </c>
      <c r="B16" s="26" t="n"/>
      <c r="C16" s="26" t="n"/>
    </row>
    <row r="17">
      <c r="A17" s="11" t="inlineStr">
        <is>
          <t>Transfers of inventory assets into the estate account</t>
        </is>
      </c>
      <c r="B17" s="13">
        <f>SUMIF(Ledger!$C$13:$C$212,"transfer in",Ledger!$D$13:$D$212)</f>
        <v/>
      </c>
      <c r="C17" s="2" t="n"/>
    </row>
    <row r="18">
      <c r="A18" s="11" t="inlineStr">
        <is>
          <t>Proceeds of sales</t>
        </is>
      </c>
      <c r="B18" s="13">
        <f>SUMIF(Ledger!$C$13:$C$212,"sale proceeds",Ledger!$D$13:$D$212)</f>
        <v/>
      </c>
      <c r="C18" s="2" t="n"/>
    </row>
    <row r="19">
      <c r="A19" s="11" t="inlineStr">
        <is>
          <t>Income: interest</t>
        </is>
      </c>
      <c r="B19" s="13">
        <f>SUMIF(Ledger!$C$13:$C$212,"income-interest",Ledger!$D$13:$D$212)</f>
        <v/>
      </c>
      <c r="C19" s="2" t="n"/>
    </row>
    <row r="20">
      <c r="A20" s="11" t="inlineStr">
        <is>
          <t>Income: dividends</t>
        </is>
      </c>
      <c r="B20" s="13">
        <f>SUMIF(Ledger!$C$13:$C$212,"income-dividend",Ledger!$D$13:$D$212)</f>
        <v/>
      </c>
      <c r="C20" s="2" t="n"/>
    </row>
    <row r="21">
      <c r="A21" s="11" t="inlineStr">
        <is>
          <t>Income: other</t>
        </is>
      </c>
      <c r="B21" s="13">
        <f>SUMIF(Ledger!$C$13:$C$212,"income-other",Ledger!$D$13:$D$212)</f>
        <v/>
      </c>
      <c r="C21" s="2" t="n"/>
    </row>
    <row r="22">
      <c r="A22" s="27" t="inlineStr">
        <is>
          <t>Total receipts</t>
        </is>
      </c>
      <c r="B22" s="28">
        <f>SUM(B17:B21)</f>
        <v/>
      </c>
      <c r="C22" s="2" t="n"/>
    </row>
    <row r="23">
      <c r="A23" s="2" t="n"/>
      <c r="B23" s="2" t="n"/>
      <c r="C23" s="2" t="n"/>
    </row>
    <row r="24">
      <c r="A24" s="25" t="inlineStr">
        <is>
          <t>III. Disbursements</t>
        </is>
      </c>
      <c r="B24" s="26" t="n"/>
      <c r="C24" s="26" t="n"/>
    </row>
    <row r="25">
      <c r="A25" s="11" t="inlineStr">
        <is>
          <t>Funeral</t>
        </is>
      </c>
      <c r="B25" s="13">
        <f>SUMIF(Ledger!$C$13:$C$212,"funeral",Ledger!$E$13:$E$212)</f>
        <v/>
      </c>
      <c r="C25" s="2" t="n"/>
    </row>
    <row r="26">
      <c r="A26" s="11" t="inlineStr">
        <is>
          <t>Administration</t>
        </is>
      </c>
      <c r="B26" s="13">
        <f>SUMIF(Ledger!$C$13:$C$212,"administration",Ledger!$E$13:$E$212)</f>
        <v/>
      </c>
      <c r="C26" s="2" t="n"/>
    </row>
    <row r="27">
      <c r="A27" s="11" t="inlineStr">
        <is>
          <t>Legal</t>
        </is>
      </c>
      <c r="B27" s="13">
        <f>SUMIF(Ledger!$C$13:$C$212,"legal",Ledger!$E$13:$E$212)</f>
        <v/>
      </c>
      <c r="C27" s="2" t="n"/>
    </row>
    <row r="28">
      <c r="A28" s="11" t="inlineStr">
        <is>
          <t>Accounting</t>
        </is>
      </c>
      <c r="B28" s="13">
        <f>SUMIF(Ledger!$C$13:$C$212,"accounting",Ledger!$E$13:$E$212)</f>
        <v/>
      </c>
      <c r="C28" s="2" t="n"/>
    </row>
    <row r="29">
      <c r="A29" s="11" t="inlineStr">
        <is>
          <t>Tax</t>
        </is>
      </c>
      <c r="B29" s="13">
        <f>SUMIF(Ledger!$C$13:$C$212,"tax",Ledger!$E$13:$E$212)</f>
        <v/>
      </c>
      <c r="C29" s="2" t="n"/>
    </row>
    <row r="30">
      <c r="A30" s="11" t="inlineStr">
        <is>
          <t>Debts and claims paid</t>
        </is>
      </c>
      <c r="B30" s="13">
        <f>SUMIF(Ledger!$C$13:$C$212,"debt paid",Ledger!$E$13:$E$212)</f>
        <v/>
      </c>
      <c r="C30" s="2" t="n"/>
    </row>
    <row r="31">
      <c r="A31" s="11" t="inlineStr">
        <is>
          <t>Reimbursement to executor</t>
        </is>
      </c>
      <c r="B31" s="13">
        <f>SUMIF(Ledger!$C$13:$C$212,"reimbursement to executor",Ledger!$E$13:$E$212)</f>
        <v/>
      </c>
      <c r="C31" s="2" t="n"/>
    </row>
    <row r="32">
      <c r="A32" s="27" t="inlineStr">
        <is>
          <t>Total disbursements before distributions</t>
        </is>
      </c>
      <c r="B32" s="28">
        <f>SUM(B25:B31)</f>
        <v/>
      </c>
      <c r="C32" s="2" t="n"/>
    </row>
    <row r="33">
      <c r="A33" s="2" t="n"/>
      <c r="B33" s="2" t="n"/>
      <c r="C33" s="2" t="n"/>
    </row>
    <row r="34">
      <c r="A34" s="25" t="inlineStr">
        <is>
          <t>IV. Distributions to beneficiaries</t>
        </is>
      </c>
      <c r="B34" s="26" t="n"/>
      <c r="C34" s="26" t="n"/>
    </row>
    <row r="35">
      <c r="A35" s="11" t="inlineStr">
        <is>
          <t>Distributions paid (Ledger)</t>
        </is>
      </c>
      <c r="B35" s="13">
        <f>SUMIF(Ledger!$C$13:$C$212,"distribution",Ledger!$E$13:$E$212)</f>
        <v/>
      </c>
      <c r="C35" s="2" t="n"/>
    </row>
    <row r="36">
      <c r="A36" s="2" t="n"/>
      <c r="B36" s="2" t="n"/>
      <c r="C36" s="2" t="n"/>
    </row>
    <row r="37">
      <c r="A37" s="25" t="inlineStr">
        <is>
          <t>V. Reconciliation</t>
        </is>
      </c>
      <c r="B37" s="26" t="n"/>
      <c r="C37" s="26" t="n"/>
    </row>
    <row r="38">
      <c r="A38" s="11" t="inlineStr">
        <is>
          <t>Total receipts (II)</t>
        </is>
      </c>
      <c r="B38" s="13">
        <f>B22</f>
        <v/>
      </c>
      <c r="C38" s="2" t="n"/>
    </row>
    <row r="39">
      <c r="A39" s="11" t="inlineStr">
        <is>
          <t>Less total disbursements (III)</t>
        </is>
      </c>
      <c r="B39" s="13">
        <f>B32</f>
        <v/>
      </c>
      <c r="C39" s="2" t="n"/>
    </row>
    <row r="40">
      <c r="A40" s="11" t="inlineStr">
        <is>
          <t>Less distributions (IV)</t>
        </is>
      </c>
      <c r="B40" s="13">
        <f>B35</f>
        <v/>
      </c>
      <c r="C40" s="2" t="n"/>
    </row>
    <row r="41">
      <c r="A41" s="27" t="inlineStr">
        <is>
          <t>Balance remaining in estate account</t>
        </is>
      </c>
      <c r="B41" s="28">
        <f>B38-B39-B40</f>
        <v/>
      </c>
      <c r="C41" s="2" t="n"/>
    </row>
    <row r="42">
      <c r="A42" s="11" t="inlineStr">
        <is>
          <t>Ledger running balance (should match)</t>
        </is>
      </c>
      <c r="B42" s="13">
        <f>Ledger!B7</f>
        <v/>
      </c>
      <c r="C42" s="2" t="n"/>
    </row>
    <row r="43">
      <c r="A43" s="27" t="inlineStr">
        <is>
          <t>Difference (should be zero)</t>
        </is>
      </c>
      <c r="B43" s="28">
        <f>B41-B42</f>
        <v/>
      </c>
      <c r="C43" s="2" t="n"/>
    </row>
    <row r="44">
      <c r="A44" s="2" t="n"/>
      <c r="B44" s="2" t="n"/>
      <c r="C44" s="2" t="n"/>
    </row>
    <row r="45">
      <c r="A45" s="25" t="inlineStr">
        <is>
          <t>VI. Still to do</t>
        </is>
      </c>
      <c r="B45" s="26" t="n"/>
      <c r="C45" s="26" t="n"/>
    </row>
    <row r="46">
      <c r="A46" s="11" t="inlineStr">
        <is>
          <t>Assets in inventory not yet valued (count)</t>
        </is>
      </c>
      <c r="B46" s="29">
        <f>Inventory!F10</f>
        <v/>
      </c>
      <c r="C46" s="2" t="n"/>
    </row>
    <row r="47">
      <c r="A47" s="11" t="inlineStr">
        <is>
          <t>Claims still pending (count)</t>
        </is>
      </c>
      <c r="B47" s="29">
        <f>Claims!B9</f>
        <v/>
      </c>
      <c r="C47" s="2" t="n"/>
    </row>
    <row r="48">
      <c r="A48" s="11" t="inlineStr">
        <is>
          <t>Outgoing ledger rows without a receipt (count)</t>
        </is>
      </c>
      <c r="B48" s="29">
        <f>Ledger!B8</f>
        <v/>
      </c>
      <c r="C48" s="2" t="n"/>
    </row>
    <row r="49">
      <c r="A49" s="11" t="inlineStr">
        <is>
          <t>Reserve held for taxes and final costs</t>
        </is>
      </c>
      <c r="B49" s="13">
        <f>'Start here'!B26</f>
        <v/>
      </c>
      <c r="C49" s="2" t="n"/>
    </row>
    <row r="50">
      <c r="A50" s="11" t="inlineStr">
        <is>
          <t>Available for distribution after reserve and specific gifts</t>
        </is>
      </c>
      <c r="B50" s="13">
        <f>Distribution!B8</f>
        <v/>
      </c>
      <c r="C50" s="2" t="n"/>
    </row>
    <row r="51">
      <c r="A51" s="2" t="n"/>
      <c r="B51" s="2" t="n"/>
      <c r="C51" s="2" t="n"/>
    </row>
    <row r="52">
      <c r="A52" s="4" t="inlineStr">
        <is>
          <t>Prepared by the personal representative from the estate's records. General information, not legal or tax advice.</t>
        </is>
      </c>
      <c r="B52" s="2" t="n"/>
      <c r="C52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2026-09-09T15:11:30Z</dcterms:created>
  <dcterms:modified xsi:type="dcterms:W3CDTF">2026-09-09T15:11:31Z</dcterms:modified>
</cp:coreProperties>
</file>